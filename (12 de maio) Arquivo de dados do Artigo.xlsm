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0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1.xml" ContentType="application/vnd.openxmlformats-officedocument.drawing+xml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2.xml" ContentType="application/vnd.openxmlformats-officedocument.drawing+xml"/>
  <Override PartName="/xl/charts/chart18.xml" ContentType="application/vnd.openxmlformats-officedocument.drawingml.chart+xml"/>
  <Override PartName="/xl/drawings/drawing13.xml" ContentType="application/vnd.openxmlformats-officedocument.drawing+xml"/>
  <Override PartName="/xl/charts/chart19.xml" ContentType="application/vnd.openxmlformats-officedocument.drawingml.chart+xml"/>
  <Override PartName="/xl/drawings/drawing1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hiag\Documents\@ Adalberto\@@@ Artigo BJLAS\"/>
    </mc:Choice>
  </mc:AlternateContent>
  <xr:revisionPtr revIDLastSave="0" documentId="13_ncr:1_{343C1A20-E488-4C28-95D4-9EA5A21F4248}" xr6:coauthVersionLast="46" xr6:coauthVersionMax="46" xr10:uidLastSave="{00000000-0000-0000-0000-000000000000}"/>
  <bookViews>
    <workbookView xWindow="-120" yWindow="-120" windowWidth="20730" windowHeight="11160" tabRatio="775" firstSheet="14" activeTab="20" xr2:uid="{00000000-000D-0000-FFFF-FFFF00000000}"/>
  </bookViews>
  <sheets>
    <sheet name="Grafico 1. Covid Index" sheetId="3" r:id="rId1"/>
    <sheet name="Mortalidade 0-4" sheetId="16" r:id="rId2"/>
    <sheet name="Gasto saúde prop GDP" sheetId="17" r:id="rId3"/>
    <sheet name="Posiç GHS index" sheetId="18" r:id="rId4"/>
    <sheet name="GDP per capita" sheetId="19" r:id="rId5"/>
    <sheet name="Óbitos x IDH" sheetId="21" r:id="rId6"/>
    <sheet name="Gráfs agrupados" sheetId="15" r:id="rId7"/>
    <sheet name="Informality 1" sheetId="24" r:id="rId8"/>
    <sheet name="Informality 2" sheetId="25" r:id="rId9"/>
    <sheet name="Gini" sheetId="26" r:id="rId10"/>
    <sheet name="GHS e Obitos" sheetId="10" r:id="rId11"/>
    <sheet name="planilha cepal - paises" sheetId="1" r:id="rId12"/>
    <sheet name="GHS - LA e mundo" sheetId="4" r:id="rId13"/>
    <sheet name="GHS - La" sheetId="9" r:id="rId14"/>
    <sheet name="Mapa de calor" sheetId="2" r:id="rId15"/>
    <sheet name="Tx atividade" sheetId="12" r:id="rId16"/>
    <sheet name="Tx Ocupação" sheetId="13" r:id="rId17"/>
    <sheet name="Desemprego" sheetId="14" r:id="rId18"/>
    <sheet name="Txs atividade, ocup etc" sheetId="11" r:id="rId19"/>
    <sheet name="Mortalidade ordenada" sheetId="20" r:id="rId20"/>
    <sheet name="@Reponsabilidade " sheetId="27" r:id="rId21"/>
  </sheets>
  <externalReferences>
    <externalReference r:id="rId22"/>
  </externalReferences>
  <definedNames>
    <definedName name="_GoBack" localSheetId="10">'GHS e Obitos'!$G$168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27" l="1"/>
  <c r="O8" i="27"/>
  <c r="P7" i="27"/>
  <c r="O7" i="27"/>
  <c r="O28" i="11" l="1"/>
  <c r="N28" i="11"/>
  <c r="M28" i="11"/>
  <c r="L28" i="11"/>
  <c r="O27" i="11"/>
  <c r="N27" i="11"/>
  <c r="M27" i="11"/>
  <c r="L27" i="11"/>
  <c r="O26" i="11"/>
  <c r="N26" i="11"/>
  <c r="M26" i="11"/>
  <c r="L26" i="11"/>
  <c r="O25" i="11"/>
  <c r="N25" i="11"/>
  <c r="M25" i="11"/>
  <c r="L25" i="11"/>
  <c r="O24" i="11"/>
  <c r="N24" i="11"/>
  <c r="M24" i="11"/>
  <c r="L24" i="11"/>
  <c r="O23" i="11"/>
  <c r="N23" i="11"/>
  <c r="M23" i="11"/>
  <c r="L23" i="11"/>
  <c r="O22" i="11"/>
  <c r="N22" i="11"/>
  <c r="M22" i="11"/>
  <c r="L22" i="11"/>
  <c r="O21" i="11"/>
  <c r="N21" i="11"/>
  <c r="M21" i="11"/>
  <c r="L21" i="11"/>
  <c r="O20" i="11"/>
  <c r="N20" i="11"/>
  <c r="M20" i="11"/>
  <c r="L20" i="11"/>
  <c r="O19" i="11"/>
  <c r="N19" i="11"/>
  <c r="M19" i="11"/>
  <c r="L19" i="11"/>
  <c r="O18" i="11"/>
  <c r="N18" i="11"/>
  <c r="M18" i="11"/>
  <c r="L18" i="11"/>
  <c r="J28" i="11"/>
  <c r="I28" i="11"/>
  <c r="H28" i="11"/>
  <c r="G28" i="11"/>
  <c r="J27" i="11"/>
  <c r="I27" i="11"/>
  <c r="H27" i="11"/>
  <c r="G27" i="11"/>
  <c r="J26" i="11"/>
  <c r="I26" i="11"/>
  <c r="H26" i="11"/>
  <c r="G26" i="11"/>
  <c r="J25" i="11"/>
  <c r="I25" i="11"/>
  <c r="H25" i="11"/>
  <c r="G25" i="11"/>
  <c r="J24" i="11"/>
  <c r="I24" i="11"/>
  <c r="H24" i="11"/>
  <c r="G24" i="11"/>
  <c r="J23" i="11"/>
  <c r="I23" i="11"/>
  <c r="H23" i="11"/>
  <c r="G23" i="11"/>
  <c r="J22" i="11"/>
  <c r="I22" i="11"/>
  <c r="H22" i="11"/>
  <c r="G22" i="11"/>
  <c r="J21" i="11"/>
  <c r="I21" i="11"/>
  <c r="H21" i="11"/>
  <c r="G21" i="11"/>
  <c r="J20" i="11"/>
  <c r="I20" i="11"/>
  <c r="H20" i="11"/>
  <c r="G20" i="11"/>
  <c r="J19" i="11"/>
  <c r="I19" i="11"/>
  <c r="H19" i="11"/>
  <c r="G19" i="11"/>
  <c r="J18" i="11"/>
  <c r="I18" i="11"/>
  <c r="H18" i="11"/>
  <c r="G18" i="11"/>
  <c r="E28" i="11"/>
  <c r="D28" i="11"/>
  <c r="C28" i="11"/>
  <c r="B28" i="11"/>
  <c r="E27" i="11"/>
  <c r="D27" i="11"/>
  <c r="C27" i="11"/>
  <c r="B27" i="11"/>
  <c r="E26" i="11"/>
  <c r="D26" i="11"/>
  <c r="C26" i="11"/>
  <c r="B26" i="11"/>
  <c r="E25" i="11"/>
  <c r="D25" i="11"/>
  <c r="C25" i="11"/>
  <c r="B25" i="11"/>
  <c r="E24" i="11"/>
  <c r="D24" i="11"/>
  <c r="C24" i="11"/>
  <c r="B24" i="11"/>
  <c r="E23" i="11"/>
  <c r="D23" i="11"/>
  <c r="C23" i="11"/>
  <c r="B23" i="11"/>
  <c r="E22" i="11"/>
  <c r="D22" i="11"/>
  <c r="C22" i="11"/>
  <c r="B22" i="11"/>
  <c r="E21" i="11"/>
  <c r="D21" i="11"/>
  <c r="C21" i="11"/>
  <c r="B21" i="11"/>
  <c r="E20" i="11"/>
  <c r="D20" i="11"/>
  <c r="C20" i="11"/>
  <c r="B20" i="11"/>
  <c r="E19" i="11"/>
  <c r="D19" i="11"/>
  <c r="C19" i="11"/>
  <c r="B19" i="11"/>
  <c r="E18" i="11"/>
  <c r="D18" i="11"/>
  <c r="C18" i="11"/>
  <c r="B18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Vittorelli, Christophe</author>
  </authors>
  <commentList>
    <comment ref="C194" authorId="0" shapeId="0" xr:uid="{AE5A6B7C-6DBE-40AF-B83F-770DE0D59302}">
      <text>
        <r>
          <rPr>
            <sz val="9"/>
            <color indexed="81"/>
            <rFont val="Tahoma"/>
            <family val="2"/>
          </rPr>
          <t xml:space="preserve">
- (B) Break in series</t>
        </r>
      </text>
    </comment>
  </commentList>
</comments>
</file>

<file path=xl/sharedStrings.xml><?xml version="1.0" encoding="utf-8"?>
<sst xmlns="http://schemas.openxmlformats.org/spreadsheetml/2006/main" count="547" uniqueCount="133">
  <si>
    <t>Uruguay</t>
  </si>
  <si>
    <t>Argentina</t>
  </si>
  <si>
    <t>Colombia</t>
  </si>
  <si>
    <t>Bolivia</t>
  </si>
  <si>
    <t>Mexico</t>
  </si>
  <si>
    <t>Ecuador</t>
  </si>
  <si>
    <t>Brazil</t>
  </si>
  <si>
    <t>Chile</t>
  </si>
  <si>
    <t>Peru</t>
  </si>
  <si>
    <t>Deaths/1M</t>
  </si>
  <si>
    <t>Response</t>
  </si>
  <si>
    <t>July</t>
  </si>
  <si>
    <t>September</t>
  </si>
  <si>
    <t>November</t>
  </si>
  <si>
    <t>January*</t>
  </si>
  <si>
    <t>Collective</t>
  </si>
  <si>
    <t>Individual</t>
  </si>
  <si>
    <t>Source: Worldometers.info. *13 Jan.</t>
  </si>
  <si>
    <t>Março</t>
  </si>
  <si>
    <t>Maio</t>
  </si>
  <si>
    <t>Países</t>
  </si>
  <si>
    <t>links</t>
  </si>
  <si>
    <t>mapa</t>
  </si>
  <si>
    <t>https://cepalstat-prod.cepal.org/geo/covid/?language=es</t>
  </si>
  <si>
    <t>https://cepalstat-prod.cepal.org/forms/covid-countrysheet/index.html?country=URY</t>
  </si>
  <si>
    <t>https://cepalstat-prod.cepal.org/forms/covid-countrysheet/index.html?country=ARG</t>
  </si>
  <si>
    <t>https://cepalstat-prod.cepal.org/forms/covid-countrysheet/index.html?country=COL</t>
  </si>
  <si>
    <t>https://cepalstat-prod.cepal.org/forms/covid-countrysheet/index.html?country=BOL</t>
  </si>
  <si>
    <t>https://cepalstat-prod.cepal.org/forms/covid-countrysheet/index.html?country=MEX</t>
  </si>
  <si>
    <t>https://cepalstat-prod.cepal.org/forms/covid-countrysheet/index.html?country=ECU</t>
  </si>
  <si>
    <t>https://cepalstat-prod.cepal.org/forms/covid-countrysheet/index.html?country=BRA</t>
  </si>
  <si>
    <t>https://cepalstat-prod.cepal.org/forms/covid-countrysheet/index.html?country=CHL</t>
  </si>
  <si>
    <t>https://cepalstat-prod.cepal.org/forms/covid-countrysheet/index.html?country=PER</t>
  </si>
  <si>
    <t>Category score time series</t>
  </si>
  <si>
    <t>Regions</t>
  </si>
  <si>
    <t>Weeks since 100th case</t>
  </si>
  <si>
    <t>Asia-Pacific</t>
  </si>
  <si>
    <t>Americas</t>
  </si>
  <si>
    <t>Europe</t>
  </si>
  <si>
    <t>Middle East &amp; Africa</t>
  </si>
  <si>
    <t>week 2*</t>
  </si>
  <si>
    <t>week 21*</t>
  </si>
  <si>
    <t>week 43*</t>
  </si>
  <si>
    <t>4) SUFFICIENT &amp; ROBUST HEALTH SECTOR TO TREAT THE SICK &amp; PROTECT HEALTH WORKERS</t>
  </si>
  <si>
    <t>3) RAPID RESPONSE TO AND MITIGATION OF THE SPREAD OF AN EPIDEMIC</t>
  </si>
  <si>
    <t>Bahamas</t>
  </si>
  <si>
    <t>Barbados</t>
  </si>
  <si>
    <t>Belize</t>
  </si>
  <si>
    <t>Costa Rica</t>
  </si>
  <si>
    <t>Cuba</t>
  </si>
  <si>
    <t>Dominican Republic</t>
  </si>
  <si>
    <t>El Salvador</t>
  </si>
  <si>
    <t>Guatemala</t>
  </si>
  <si>
    <t>Guyana</t>
  </si>
  <si>
    <t>Haiti</t>
  </si>
  <si>
    <t>Honduras</t>
  </si>
  <si>
    <t>Jamaica</t>
  </si>
  <si>
    <t>Nicaragua</t>
  </si>
  <si>
    <t>Panama</t>
  </si>
  <si>
    <t>Paraguay</t>
  </si>
  <si>
    <t>Suriname</t>
  </si>
  <si>
    <t>Trinidad and Tobago</t>
  </si>
  <si>
    <t>Venezuela</t>
  </si>
  <si>
    <t>País</t>
  </si>
  <si>
    <t>posição média</t>
  </si>
  <si>
    <t>Fonte GHS Index</t>
  </si>
  <si>
    <t>Fonte: https://ourworldindata.org/covid-cases</t>
  </si>
  <si>
    <t>Obitos1M_setembro2020</t>
  </si>
  <si>
    <t>Gasto médio em saúde como prop. Do PIB</t>
  </si>
  <si>
    <t>Bolívia</t>
  </si>
  <si>
    <t>Colômbia</t>
  </si>
  <si>
    <t>Dominican Rep.</t>
  </si>
  <si>
    <t>Trinidad e Tobago</t>
  </si>
  <si>
    <t>Taxa de mortalidade crianças de 5 a 14 anos por 1000 crianças nessa idade (2018)</t>
  </si>
  <si>
    <t>Source: WHO, World Health Observatory</t>
  </si>
  <si>
    <t>Source: WHO, World Health Observatory (data for 2017)</t>
  </si>
  <si>
    <t>Mortalidade de crianças de 0-4 anos por 1000 nascidos vivos</t>
  </si>
  <si>
    <t>Source: CEPAL</t>
  </si>
  <si>
    <t xml:space="preserve">Argentina </t>
  </si>
  <si>
    <t xml:space="preserve">Bolivia </t>
  </si>
  <si>
    <t xml:space="preserve">Brasil </t>
  </si>
  <si>
    <t xml:space="preserve">Chile </t>
  </si>
  <si>
    <t xml:space="preserve">Colombia </t>
  </si>
  <si>
    <t xml:space="preserve">Costa Rica </t>
  </si>
  <si>
    <t xml:space="preserve">México </t>
  </si>
  <si>
    <t xml:space="preserve">Nicaragua </t>
  </si>
  <si>
    <t xml:space="preserve">Paraguay </t>
  </si>
  <si>
    <t xml:space="preserve">Perú </t>
  </si>
  <si>
    <t xml:space="preserve">Uruguay </t>
  </si>
  <si>
    <t>I T</t>
  </si>
  <si>
    <t>II T</t>
  </si>
  <si>
    <t>III T</t>
  </si>
  <si>
    <t>IV T</t>
  </si>
  <si>
    <t>Rate of activity</t>
  </si>
  <si>
    <t>Rate of occupation</t>
  </si>
  <si>
    <t>Unemployment</t>
  </si>
  <si>
    <t>Expenditure in health as a proportion of GDP and # of deanths</t>
  </si>
  <si>
    <t>Mortality rate of child. of 0-4 years by 1000 live births and # of deaths</t>
  </si>
  <si>
    <t>GDP per capita</t>
  </si>
  <si>
    <t>Deaths Sept. 2020</t>
  </si>
  <si>
    <t>GDP per capita (thousand dollars) and # of deaths</t>
  </si>
  <si>
    <t>Trin.&amp; Tob.</t>
  </si>
  <si>
    <t>Domin. Republic</t>
  </si>
  <si>
    <t>Domin. Rep.</t>
  </si>
  <si>
    <t>Trinidad &amp; Tob.</t>
  </si>
  <si>
    <t>Source: CEPAL (data on expenditure is from 2016)</t>
  </si>
  <si>
    <t>Source: WHO (data on child death from 2017)</t>
  </si>
  <si>
    <t>Source: IMF (data on GDP from 2019)</t>
  </si>
  <si>
    <t>IDH</t>
  </si>
  <si>
    <t>Óbitos por milhão</t>
  </si>
  <si>
    <t xml:space="preserve">Human Development Index (HDI) and # of deaths </t>
  </si>
  <si>
    <t>Source: United Nations</t>
  </si>
  <si>
    <t>GHS</t>
  </si>
  <si>
    <t>Source for informality: ILO</t>
  </si>
  <si>
    <t>Informality 1 (negativa)</t>
  </si>
  <si>
    <t>Informality 2 (positiva)</t>
  </si>
  <si>
    <t>Venezuela, RB</t>
  </si>
  <si>
    <t>Gini</t>
  </si>
  <si>
    <t>Source for informality (X axis): ILO except Peru (The Economist) and Jamaica (IDB)</t>
  </si>
  <si>
    <t>Country</t>
  </si>
  <si>
    <t>Deaths/1M population*</t>
  </si>
  <si>
    <t>Kind of Responsibility</t>
  </si>
  <si>
    <t>-</t>
  </si>
  <si>
    <t>45.4</t>
  </si>
  <si>
    <t>Source: Multiple sources. 2014-2020. WorldoMetter. ILO. Euromonitor. Government websites. World Bank. Coronatracker.com. Fraschina (2020). Gentilini (2020).  *Until August, 2020. ** Number of households (millions).</t>
  </si>
  <si>
    <t>Informality (%)</t>
  </si>
  <si>
    <t>Income Transfer Programs (ITP)**</t>
  </si>
  <si>
    <t>Households covered by ITP (%)</t>
  </si>
  <si>
    <t>Gini (circa 2018)</t>
  </si>
  <si>
    <t>costa rica</t>
  </si>
  <si>
    <t>Panamá</t>
  </si>
  <si>
    <t>pop</t>
  </si>
  <si>
    <t>1M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</si>
</sst>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0.0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imes New Roman"/>
      <family val="1"/>
    </font>
    <font>
      <sz val="11"/>
      <color theme="1"/>
      <name val="Calibri"/>
      <family val="2"/>
      <scheme val="minor"/>
    </font>
    <font>
      <b/>
      <sz val="12"/>
      <color theme="3" tint="-0.499984740745262"/>
      <name val="Calibri"/>
      <family val="2"/>
    </font>
    <font>
      <sz val="14"/>
      <color theme="3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3" tint="-0.499984740745262"/>
      <name val="Calibri"/>
      <family val="2"/>
    </font>
    <font>
      <sz val="11"/>
      <color theme="3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230050"/>
      <name val="NotoSans-Bold"/>
    </font>
    <font>
      <sz val="8"/>
      <color rgb="FF230050"/>
      <name val="NotoSans-Regular"/>
    </font>
    <font>
      <sz val="9"/>
      <color theme="1"/>
      <name val="Calibri"/>
      <family val="2"/>
      <scheme val="minor"/>
    </font>
    <font>
      <sz val="10"/>
      <color rgb="FF000000"/>
      <name val="Noto Sans"/>
    </font>
    <font>
      <sz val="9"/>
      <color indexed="81"/>
      <name val="Tahoma"/>
      <family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Times New Roman"/>
      <family val="1"/>
    </font>
    <font>
      <b/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43" fontId="3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1" applyNumberFormat="1" applyFont="1"/>
    <xf numFmtId="2" fontId="0" fillId="0" borderId="0" xfId="0" applyNumberFormat="1"/>
    <xf numFmtId="0" fontId="3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8" fillId="0" borderId="0" xfId="0" applyFont="1" applyProtection="1">
      <protection hidden="1"/>
    </xf>
    <xf numFmtId="0" fontId="3" fillId="0" borderId="0" xfId="0" applyFont="1" applyAlignment="1" applyProtection="1">
      <alignment horizontal="left" indent="1"/>
      <protection hidden="1"/>
    </xf>
    <xf numFmtId="0" fontId="4" fillId="0" borderId="0" xfId="0" applyFont="1" applyAlignment="1" applyProtection="1">
      <alignment horizontal="right" indent="1"/>
      <protection hidden="1"/>
    </xf>
    <xf numFmtId="0" fontId="0" fillId="0" borderId="1" xfId="0" applyBorder="1"/>
    <xf numFmtId="0" fontId="9" fillId="0" borderId="0" xfId="2"/>
    <xf numFmtId="0" fontId="1" fillId="0" borderId="1" xfId="0" applyFont="1" applyBorder="1"/>
    <xf numFmtId="0" fontId="1" fillId="0" borderId="2" xfId="0" applyFont="1" applyFill="1" applyBorder="1"/>
    <xf numFmtId="2" fontId="0" fillId="0" borderId="1" xfId="0" applyNumberFormat="1" applyBorder="1"/>
    <xf numFmtId="2" fontId="0" fillId="2" borderId="3" xfId="0" applyNumberFormat="1" applyFill="1" applyBorder="1"/>
    <xf numFmtId="0" fontId="0" fillId="0" borderId="0" xfId="0" applyBorder="1"/>
    <xf numFmtId="0" fontId="0" fillId="0" borderId="4" xfId="0" applyFill="1" applyBorder="1"/>
    <xf numFmtId="0" fontId="10" fillId="0" borderId="1" xfId="0" applyFont="1" applyBorder="1" applyAlignment="1">
      <alignment vertical="center" wrapText="1"/>
    </xf>
    <xf numFmtId="164" fontId="11" fillId="0" borderId="1" xfId="0" applyNumberFormat="1" applyFont="1" applyBorder="1" applyAlignment="1">
      <alignment vertical="center" wrapText="1"/>
    </xf>
    <xf numFmtId="0" fontId="1" fillId="0" borderId="0" xfId="0" applyFont="1"/>
    <xf numFmtId="0" fontId="12" fillId="0" borderId="0" xfId="0" applyFont="1"/>
    <xf numFmtId="164" fontId="0" fillId="0" borderId="0" xfId="0" applyNumberFormat="1" applyBorder="1"/>
    <xf numFmtId="165" fontId="0" fillId="0" borderId="1" xfId="0" applyNumberFormat="1" applyBorder="1"/>
    <xf numFmtId="165" fontId="0" fillId="0" borderId="0" xfId="0" applyNumberFormat="1"/>
    <xf numFmtId="164" fontId="13" fillId="0" borderId="0" xfId="0" applyNumberFormat="1" applyFont="1" applyAlignment="1">
      <alignment vertical="top" wrapText="1"/>
    </xf>
    <xf numFmtId="0" fontId="15" fillId="0" borderId="0" xfId="0" applyFont="1"/>
    <xf numFmtId="0" fontId="16" fillId="0" borderId="0" xfId="0" applyFont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7" fillId="0" borderId="0" xfId="0" applyFont="1" applyAlignment="1">
      <alignment horizontal="right" vertical="center" wrapText="1"/>
    </xf>
    <xf numFmtId="0" fontId="16" fillId="0" borderId="0" xfId="0" applyFont="1" applyAlignment="1">
      <alignment horizontal="right" vertical="center"/>
    </xf>
    <xf numFmtId="0" fontId="16" fillId="0" borderId="6" xfId="0" applyFont="1" applyBorder="1" applyAlignment="1">
      <alignment horizontal="left" vertical="center"/>
    </xf>
    <xf numFmtId="0" fontId="15" fillId="0" borderId="0" xfId="0" applyFont="1" applyAlignment="1">
      <alignment vertical="top" wrapText="1"/>
    </xf>
    <xf numFmtId="0" fontId="16" fillId="0" borderId="7" xfId="0" applyFont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12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wrapText="1"/>
    </xf>
    <xf numFmtId="16" fontId="0" fillId="0" borderId="0" xfId="0" applyNumberFormat="1"/>
    <xf numFmtId="0" fontId="0" fillId="0" borderId="0" xfId="3" applyNumberFormat="1" applyFont="1"/>
    <xf numFmtId="1" fontId="0" fillId="0" borderId="0" xfId="3" applyNumberFormat="1" applyFont="1"/>
    <xf numFmtId="0" fontId="0" fillId="3" borderId="0" xfId="0" applyFill="1"/>
    <xf numFmtId="1" fontId="0" fillId="3" borderId="0" xfId="3" applyNumberFormat="1" applyFont="1" applyFill="1"/>
    <xf numFmtId="16" fontId="0" fillId="4" borderId="0" xfId="0" applyNumberFormat="1" applyFill="1"/>
    <xf numFmtId="1" fontId="0" fillId="4" borderId="0" xfId="0" applyNumberFormat="1" applyFill="1"/>
    <xf numFmtId="164" fontId="0" fillId="4" borderId="0" xfId="0" applyNumberFormat="1" applyFill="1"/>
    <xf numFmtId="2" fontId="0" fillId="4" borderId="0" xfId="0" applyNumberFormat="1" applyFill="1"/>
    <xf numFmtId="0" fontId="1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left" vertical="center" wrapText="1"/>
      <protection hidden="1"/>
    </xf>
    <xf numFmtId="0" fontId="4" fillId="0" borderId="0" xfId="0" applyFont="1" applyAlignment="1" applyProtection="1">
      <alignment horizontal="right" vertical="center" wrapText="1"/>
      <protection hidden="1"/>
    </xf>
    <xf numFmtId="0" fontId="7" fillId="0" borderId="0" xfId="0" applyFont="1" applyAlignment="1" applyProtection="1">
      <alignment horizontal="left" vertical="top" wrapText="1" indent="1"/>
      <protection hidden="1"/>
    </xf>
    <xf numFmtId="0" fontId="7" fillId="0" borderId="0" xfId="0" applyFont="1" applyAlignment="1" applyProtection="1">
      <alignment horizontal="right" vertical="top" wrapText="1" indent="1"/>
      <protection hidden="1"/>
    </xf>
    <xf numFmtId="2" fontId="4" fillId="0" borderId="0" xfId="0" applyNumberFormat="1" applyFont="1" applyAlignment="1" applyProtection="1">
      <alignment horizontal="right" indent="1"/>
      <protection hidden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15" fillId="0" borderId="7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1" xfId="0" applyFont="1" applyBorder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</cellXfs>
  <cellStyles count="4">
    <cellStyle name="Hiperlink" xfId="2" builtinId="8"/>
    <cellStyle name="Normal" xfId="0" builtinId="0"/>
    <cellStyle name="Porcentagem" xfId="1" builtinId="5"/>
    <cellStyle name="Vírgula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worksheet" Target="worksheets/sheet5.xml"/><Relationship Id="rId18" Type="http://schemas.openxmlformats.org/officeDocument/2006/relationships/chartsheet" Target="chartsheets/sheet11.xml"/><Relationship Id="rId26" Type="http://schemas.openxmlformats.org/officeDocument/2006/relationships/calcChain" Target="calcChain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10.xml"/><Relationship Id="rId7" Type="http://schemas.openxmlformats.org/officeDocument/2006/relationships/worksheet" Target="worksheets/sheet2.xml"/><Relationship Id="rId12" Type="http://schemas.openxmlformats.org/officeDocument/2006/relationships/worksheet" Target="worksheets/sheet4.xml"/><Relationship Id="rId17" Type="http://schemas.openxmlformats.org/officeDocument/2006/relationships/chartsheet" Target="chartsheets/sheet10.xml"/><Relationship Id="rId25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9.xml"/><Relationship Id="rId20" Type="http://schemas.openxmlformats.org/officeDocument/2006/relationships/worksheet" Target="worksheets/sheet9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worksheet" Target="worksheets/sheet3.xml"/><Relationship Id="rId24" Type="http://schemas.openxmlformats.org/officeDocument/2006/relationships/styles" Target="styles.xml"/><Relationship Id="rId5" Type="http://schemas.openxmlformats.org/officeDocument/2006/relationships/chartsheet" Target="chartsheets/sheet4.xml"/><Relationship Id="rId15" Type="http://schemas.openxmlformats.org/officeDocument/2006/relationships/worksheet" Target="worksheets/sheet7.xml"/><Relationship Id="rId23" Type="http://schemas.openxmlformats.org/officeDocument/2006/relationships/theme" Target="theme/theme1.xml"/><Relationship Id="rId10" Type="http://schemas.openxmlformats.org/officeDocument/2006/relationships/chartsheet" Target="chartsheets/sheet8.xml"/><Relationship Id="rId19" Type="http://schemas.openxmlformats.org/officeDocument/2006/relationships/worksheet" Target="worksheets/sheet8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7.xml"/><Relationship Id="rId14" Type="http://schemas.openxmlformats.org/officeDocument/2006/relationships/worksheet" Target="worksheets/sheet6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1. Covid Index'!$D$5</c:f>
              <c:strCache>
                <c:ptCount val="1"/>
                <c:pt idx="0">
                  <c:v>week 2*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'Grafico 1. Covid Index'!$E$3:$H$4</c:f>
              <c:multiLvlStrCache>
                <c:ptCount val="4"/>
                <c:lvl>
                  <c:pt idx="0">
                    <c:v>Asia-Pacific</c:v>
                  </c:pt>
                  <c:pt idx="1">
                    <c:v>Americas</c:v>
                  </c:pt>
                  <c:pt idx="2">
                    <c:v>Europe</c:v>
                  </c:pt>
                  <c:pt idx="3">
                    <c:v>Middle East &amp; Africa</c:v>
                  </c:pt>
                </c:lvl>
                <c:lvl>
                  <c:pt idx="0">
                    <c:v>Regions</c:v>
                  </c:pt>
                </c:lvl>
              </c:multiLvlStrCache>
            </c:multiLvlStrRef>
          </c:cat>
          <c:val>
            <c:numRef>
              <c:f>'Grafico 1. Covid Index'!$E$5:$H$5</c:f>
              <c:numCache>
                <c:formatCode>0.00</c:formatCode>
                <c:ptCount val="4"/>
                <c:pt idx="0">
                  <c:v>54.716666666666661</c:v>
                </c:pt>
                <c:pt idx="1">
                  <c:v>33.949999999999996</c:v>
                </c:pt>
                <c:pt idx="2">
                  <c:v>33.574074074074069</c:v>
                </c:pt>
                <c:pt idx="3">
                  <c:v>54.17307692307692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F-4AC5-8429-18DAEE4E5414}"/>
            </c:ext>
          </c:extLst>
        </c:ser>
        <c:ser>
          <c:idx val="1"/>
          <c:order val="1"/>
          <c:tx>
            <c:strRef>
              <c:f>'Grafico 1. Covid Index'!$D$6</c:f>
              <c:strCache>
                <c:ptCount val="1"/>
                <c:pt idx="0">
                  <c:v>week 21*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'Grafico 1. Covid Index'!$E$3:$H$4</c:f>
              <c:multiLvlStrCache>
                <c:ptCount val="4"/>
                <c:lvl>
                  <c:pt idx="0">
                    <c:v>Asia-Pacific</c:v>
                  </c:pt>
                  <c:pt idx="1">
                    <c:v>Americas</c:v>
                  </c:pt>
                  <c:pt idx="2">
                    <c:v>Europe</c:v>
                  </c:pt>
                  <c:pt idx="3">
                    <c:v>Middle East &amp; Africa</c:v>
                  </c:pt>
                </c:lvl>
                <c:lvl>
                  <c:pt idx="0">
                    <c:v>Regions</c:v>
                  </c:pt>
                </c:lvl>
              </c:multiLvlStrCache>
            </c:multiLvlStrRef>
          </c:cat>
          <c:val>
            <c:numRef>
              <c:f>'Grafico 1. Covid Index'!$E$6:$H$6</c:f>
              <c:numCache>
                <c:formatCode>0.00</c:formatCode>
                <c:ptCount val="4"/>
                <c:pt idx="0">
                  <c:v>58.995169082125621</c:v>
                </c:pt>
                <c:pt idx="1">
                  <c:v>22.132723112128151</c:v>
                </c:pt>
                <c:pt idx="2">
                  <c:v>58.69330199764984</c:v>
                </c:pt>
                <c:pt idx="3">
                  <c:v>45.972826086956516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F-4AC5-8429-18DAEE4E5414}"/>
            </c:ext>
          </c:extLst>
        </c:ser>
        <c:ser>
          <c:idx val="2"/>
          <c:order val="2"/>
          <c:tx>
            <c:strRef>
              <c:f>'Grafico 1. Covid Index'!$D$7</c:f>
              <c:strCache>
                <c:ptCount val="1"/>
                <c:pt idx="0">
                  <c:v>week 43*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'Grafico 1. Covid Index'!$E$3:$H$4</c:f>
              <c:multiLvlStrCache>
                <c:ptCount val="4"/>
                <c:lvl>
                  <c:pt idx="0">
                    <c:v>Asia-Pacific</c:v>
                  </c:pt>
                  <c:pt idx="1">
                    <c:v>Americas</c:v>
                  </c:pt>
                  <c:pt idx="2">
                    <c:v>Europe</c:v>
                  </c:pt>
                  <c:pt idx="3">
                    <c:v>Middle East &amp; Africa</c:v>
                  </c:pt>
                </c:lvl>
                <c:lvl>
                  <c:pt idx="0">
                    <c:v>Regions</c:v>
                  </c:pt>
                </c:lvl>
              </c:multiLvlStrCache>
            </c:multiLvlStrRef>
          </c:cat>
          <c:val>
            <c:numRef>
              <c:f>'Grafico 1. Covid Index'!$E$7:$H$7</c:f>
              <c:numCache>
                <c:formatCode>0.00</c:formatCode>
                <c:ptCount val="4"/>
                <c:pt idx="0">
                  <c:v>64.486664230909739</c:v>
                </c:pt>
                <c:pt idx="1">
                  <c:v>28.717573986116189</c:v>
                </c:pt>
                <c:pt idx="2">
                  <c:v>31.201387723126842</c:v>
                </c:pt>
                <c:pt idx="3">
                  <c:v>53.256888039496737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2F-4AC5-8429-18DAEE4E5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727872"/>
        <c:axId val="1535750752"/>
      </c:barChart>
      <c:catAx>
        <c:axId val="153572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750752"/>
        <c:crosses val="autoZero"/>
        <c:auto val="1"/>
        <c:lblAlgn val="ctr"/>
        <c:lblOffset val="100"/>
        <c:noMultiLvlLbl val="0"/>
      </c:catAx>
      <c:valAx>
        <c:axId val="153575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72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CC1-40FE-A3EF-C1FD1DC9DC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CC1-40FE-A3EF-C1FD1DC9DC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Belize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CC1-40FE-A3EF-C1FD1DC9DC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CC1-40FE-A3EF-C1FD1DC9DC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CC1-40FE-A3EF-C1FD1DC9DC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CC1-40FE-A3EF-C1FD1DC9DC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CC1-40FE-A3EF-C1FD1DC9DC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CCC1-40FE-A3EF-C1FD1DC9DC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Domin. Republic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CCC1-40FE-A3EF-C1FD1DC9DC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CCC1-40FE-A3EF-C1FD1DC9DC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CCC1-40FE-A3EF-C1FD1DC9DC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CCC1-40FE-A3EF-C1FD1DC9DC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CCC1-40FE-A3EF-C1FD1DC9DC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pt-BR"/>
                      <a:t>Haiti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CC1-40FE-A3EF-C1FD1DC9DC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CC1-40FE-A3EF-C1FD1DC9DC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CCC1-40FE-A3EF-C1FD1DC9DC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CCC1-40FE-A3EF-C1FD1DC9DC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CCC1-40FE-A3EF-C1FD1DC9DC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CCC1-40FE-A3EF-C1FD1DC9DC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CCC1-40FE-A3EF-C1FD1DC9DC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CCC1-40FE-A3EF-C1FD1DC9DC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Suriname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CCC1-40FE-A3EF-C1FD1DC9DC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Trin.&amp; Tob.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CCC1-40FE-A3EF-C1FD1DC9DC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CCC1-40FE-A3EF-C1FD1DC9DC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Venezuela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CCC1-40FE-A3EF-C1FD1DC9DC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1.3510717410323709E-2"/>
                  <c:y val="-0.4072200349956255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Obitos'!$C$83:$C$107</c:f>
              <c:numCache>
                <c:formatCode>General</c:formatCode>
                <c:ptCount val="25"/>
                <c:pt idx="0">
                  <c:v>10.371</c:v>
                </c:pt>
                <c:pt idx="1">
                  <c:v>7.17</c:v>
                </c:pt>
                <c:pt idx="2">
                  <c:v>14.099000000000004</c:v>
                </c:pt>
                <c:pt idx="3">
                  <c:v>34.629999999999995</c:v>
                </c:pt>
                <c:pt idx="4">
                  <c:v>14.8719</c:v>
                </c:pt>
                <c:pt idx="5">
                  <c:v>7.4610000000000003</c:v>
                </c:pt>
                <c:pt idx="6">
                  <c:v>14.806999999999999</c:v>
                </c:pt>
                <c:pt idx="7">
                  <c:v>8.990000000000002</c:v>
                </c:pt>
                <c:pt idx="8">
                  <c:v>29.954999999999998</c:v>
                </c:pt>
                <c:pt idx="9">
                  <c:v>14.491</c:v>
                </c:pt>
                <c:pt idx="10">
                  <c:v>27.340000000000003</c:v>
                </c:pt>
                <c:pt idx="11">
                  <c:v>31.250000000000004</c:v>
                </c:pt>
                <c:pt idx="12">
                  <c:v>18.149000000000001</c:v>
                </c:pt>
                <c:pt idx="14">
                  <c:v>15.337000000000002</c:v>
                </c:pt>
                <c:pt idx="15">
                  <c:v>13.454000000000001</c:v>
                </c:pt>
                <c:pt idx="16">
                  <c:v>17.347000000000001</c:v>
                </c:pt>
                <c:pt idx="17">
                  <c:v>16.091999999999999</c:v>
                </c:pt>
                <c:pt idx="18">
                  <c:v>14.979999999999999</c:v>
                </c:pt>
                <c:pt idx="19">
                  <c:v>20.88</c:v>
                </c:pt>
                <c:pt idx="20">
                  <c:v>14.501000000000001</c:v>
                </c:pt>
                <c:pt idx="21">
                  <c:v>19.649999999999999</c:v>
                </c:pt>
                <c:pt idx="22">
                  <c:v>26.45</c:v>
                </c:pt>
                <c:pt idx="23">
                  <c:v>8.1929999999999996</c:v>
                </c:pt>
                <c:pt idx="24">
                  <c:v>30.878999999999998</c:v>
                </c:pt>
              </c:numCache>
            </c:numRef>
          </c:xVal>
          <c:yVal>
            <c:numRef>
              <c:f>'GHS e Obitos'!$D$83:$D$107</c:f>
              <c:numCache>
                <c:formatCode>General</c:formatCode>
                <c:ptCount val="25"/>
                <c:pt idx="0">
                  <c:v>197.34</c:v>
                </c:pt>
                <c:pt idx="1">
                  <c:v>127.15</c:v>
                </c:pt>
                <c:pt idx="2">
                  <c:v>32.69</c:v>
                </c:pt>
                <c:pt idx="3">
                  <c:v>436.99</c:v>
                </c:pt>
                <c:pt idx="4">
                  <c:v>576.76</c:v>
                </c:pt>
                <c:pt idx="5">
                  <c:v>592.22</c:v>
                </c:pt>
                <c:pt idx="6">
                  <c:v>394.04</c:v>
                </c:pt>
                <c:pt idx="7">
                  <c:v>86.96</c:v>
                </c:pt>
                <c:pt idx="8">
                  <c:v>160.22</c:v>
                </c:pt>
                <c:pt idx="9">
                  <c:v>372.44</c:v>
                </c:pt>
                <c:pt idx="10">
                  <c:v>155.06</c:v>
                </c:pt>
                <c:pt idx="11">
                  <c:v>52.13</c:v>
                </c:pt>
                <c:pt idx="12">
                  <c:v>190</c:v>
                </c:pt>
                <c:pt idx="13">
                  <c:v>17.3</c:v>
                </c:pt>
                <c:pt idx="14">
                  <c:v>7.09</c:v>
                </c:pt>
                <c:pt idx="15">
                  <c:v>506.01</c:v>
                </c:pt>
                <c:pt idx="16">
                  <c:v>21.28</c:v>
                </c:pt>
                <c:pt idx="17">
                  <c:v>467.7</c:v>
                </c:pt>
                <c:pt idx="18">
                  <c:v>877.84</c:v>
                </c:pt>
                <c:pt idx="19">
                  <c:v>48.79</c:v>
                </c:pt>
                <c:pt idx="20">
                  <c:v>111.62</c:v>
                </c:pt>
                <c:pt idx="21">
                  <c:v>122.73</c:v>
                </c:pt>
                <c:pt idx="22">
                  <c:v>19.29</c:v>
                </c:pt>
                <c:pt idx="23">
                  <c:v>12.67</c:v>
                </c:pt>
                <c:pt idx="24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C1-40FE-A3EF-C1FD1DC9D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621944"/>
        <c:axId val="538620984"/>
      </c:scatterChart>
      <c:valAx>
        <c:axId val="538621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8620984"/>
        <c:crosses val="autoZero"/>
        <c:crossBetween val="midCat"/>
      </c:valAx>
      <c:valAx>
        <c:axId val="53862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8621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E08-4480-8E86-4A12166DBB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E08-4480-8E86-4A12166DBB48}"/>
                </c:ext>
              </c:extLst>
            </c:dLbl>
            <c:dLbl>
              <c:idx val="2"/>
              <c:layout>
                <c:manualLayout>
                  <c:x val="1.8437226273814698E-2"/>
                  <c:y val="-1.2676057040925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Barbados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E08-4480-8E86-4A12166DBB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E08-4480-8E86-4A12166DBB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E08-4480-8E86-4A12166DBB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E08-4480-8E86-4A12166DBB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E08-4480-8E86-4A12166DBB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7E08-4480-8E86-4A12166DBB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Dominican Republic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E08-4480-8E86-4A12166DBB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7E08-4480-8E86-4A12166DBB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E08-4480-8E86-4A12166DBB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7E08-4480-8E86-4A12166DBB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7E08-4480-8E86-4A12166DBB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7E08-4480-8E86-4A12166DBB48}"/>
                </c:ext>
              </c:extLst>
            </c:dLbl>
            <c:dLbl>
              <c:idx val="14"/>
              <c:layout>
                <c:manualLayout>
                  <c:x val="-5.2677789353756553E-3"/>
                  <c:y val="1.2676057040925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7E08-4480-8E86-4A12166DBB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7E08-4480-8E86-4A12166DBB48}"/>
                </c:ext>
              </c:extLst>
            </c:dLbl>
            <c:dLbl>
              <c:idx val="16"/>
              <c:layout>
                <c:manualLayout>
                  <c:x val="-7.1115015627571346E-2"/>
                  <c:y val="-2.3239437908364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7E08-4480-8E86-4A12166DBB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7E08-4480-8E86-4A12166DBB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7E08-4480-8E86-4A12166DBB48}"/>
                </c:ext>
              </c:extLst>
            </c:dLbl>
            <c:dLbl>
              <c:idx val="19"/>
              <c:layout>
                <c:manualLayout>
                  <c:x val="-1.9754171007658708E-2"/>
                  <c:y val="2.11267617348764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7E08-4480-8E86-4A12166DB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2.9122484689413822E-2"/>
                  <c:y val="-7.81087780694079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Obitos'!$C$32:$C$51</c:f>
              <c:numCache>
                <c:formatCode>General</c:formatCode>
                <c:ptCount val="20"/>
                <c:pt idx="0">
                  <c:v>0.9</c:v>
                </c:pt>
                <c:pt idx="1">
                  <c:v>2.5</c:v>
                </c:pt>
                <c:pt idx="2">
                  <c:v>3.5</c:v>
                </c:pt>
                <c:pt idx="3">
                  <c:v>1.9</c:v>
                </c:pt>
                <c:pt idx="4">
                  <c:v>2</c:v>
                </c:pt>
                <c:pt idx="5">
                  <c:v>4.5</c:v>
                </c:pt>
                <c:pt idx="6">
                  <c:v>2.8</c:v>
                </c:pt>
                <c:pt idx="7">
                  <c:v>0.8</c:v>
                </c:pt>
                <c:pt idx="8">
                  <c:v>1.7</c:v>
                </c:pt>
                <c:pt idx="9">
                  <c:v>2.5</c:v>
                </c:pt>
                <c:pt idx="10">
                  <c:v>2.5</c:v>
                </c:pt>
                <c:pt idx="11">
                  <c:v>1.1000000000000001</c:v>
                </c:pt>
                <c:pt idx="12">
                  <c:v>3.5</c:v>
                </c:pt>
                <c:pt idx="13">
                  <c:v>2.8</c:v>
                </c:pt>
                <c:pt idx="14">
                  <c:v>3.6</c:v>
                </c:pt>
                <c:pt idx="15">
                  <c:v>1.1000000000000001</c:v>
                </c:pt>
                <c:pt idx="16">
                  <c:v>3.4</c:v>
                </c:pt>
                <c:pt idx="17">
                  <c:v>1.7</c:v>
                </c:pt>
                <c:pt idx="18">
                  <c:v>1.9</c:v>
                </c:pt>
                <c:pt idx="19">
                  <c:v>3.4</c:v>
                </c:pt>
              </c:numCache>
            </c:numRef>
          </c:xVal>
          <c:yVal>
            <c:numRef>
              <c:f>'GHS e Obitos'!$D$32:$D$51</c:f>
              <c:numCache>
                <c:formatCode>General</c:formatCode>
                <c:ptCount val="20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436.99</c:v>
                </c:pt>
                <c:pt idx="4">
                  <c:v>576.76</c:v>
                </c:pt>
                <c:pt idx="5">
                  <c:v>592.22</c:v>
                </c:pt>
                <c:pt idx="6">
                  <c:v>394.04</c:v>
                </c:pt>
                <c:pt idx="7">
                  <c:v>86.96</c:v>
                </c:pt>
                <c:pt idx="8">
                  <c:v>160.22</c:v>
                </c:pt>
                <c:pt idx="9">
                  <c:v>372.44</c:v>
                </c:pt>
                <c:pt idx="10">
                  <c:v>111.62</c:v>
                </c:pt>
                <c:pt idx="11">
                  <c:v>155.06</c:v>
                </c:pt>
                <c:pt idx="12">
                  <c:v>52.13</c:v>
                </c:pt>
                <c:pt idx="13">
                  <c:v>190.62</c:v>
                </c:pt>
                <c:pt idx="14">
                  <c:v>7.09</c:v>
                </c:pt>
                <c:pt idx="15">
                  <c:v>506.01</c:v>
                </c:pt>
                <c:pt idx="16">
                  <c:v>21.28</c:v>
                </c:pt>
                <c:pt idx="17">
                  <c:v>467.7</c:v>
                </c:pt>
                <c:pt idx="18">
                  <c:v>48.79</c:v>
                </c:pt>
                <c:pt idx="19">
                  <c:v>12.67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08-4480-8E86-4A12166DB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563256"/>
        <c:axId val="564570616"/>
      </c:scatterChart>
      <c:valAx>
        <c:axId val="564563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4570616"/>
        <c:crosses val="autoZero"/>
        <c:crossBetween val="midCat"/>
      </c:valAx>
      <c:valAx>
        <c:axId val="56457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4563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'GHS e Obitos'!$D$2</c:f>
              <c:strCache>
                <c:ptCount val="1"/>
                <c:pt idx="0">
                  <c:v>Obitos1M_setembro2020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34C-4524-A444-83999D24294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34C-4524-A444-83999D24294C}"/>
                </c:ext>
              </c:extLst>
            </c:dLbl>
            <c:dLbl>
              <c:idx val="2"/>
              <c:layout>
                <c:manualLayout>
                  <c:x val="2.6338894676878276E-3"/>
                  <c:y val="-1.9014085561388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Barbados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34C-4524-A444-83999D24294C}"/>
                </c:ext>
              </c:extLst>
            </c:dLbl>
            <c:dLbl>
              <c:idx val="3"/>
              <c:layout>
                <c:manualLayout>
                  <c:x val="-4.2142231483005242E-2"/>
                  <c:y val="-3.38028187758023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Belize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34C-4524-A444-83999D24294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34C-4524-A444-83999D24294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334C-4524-A444-83999D24294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34C-4524-A444-83999D24294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34C-4524-A444-83999D24294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34C-4524-A444-83999D24294C}"/>
                </c:ext>
              </c:extLst>
            </c:dLbl>
            <c:dLbl>
              <c:idx val="9"/>
              <c:layout>
                <c:manualLayout>
                  <c:x val="-3.0289728878410017E-2"/>
                  <c:y val="1.2676057040925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Cuba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334C-4524-A444-83999D24294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Dominican Republic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34C-4524-A444-83999D24294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34C-4524-A444-83999D24294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34C-4524-A444-83999D24294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34C-4524-A444-83999D24294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34C-4524-A444-83999D24294C}"/>
                </c:ext>
              </c:extLst>
            </c:dLbl>
            <c:dLbl>
              <c:idx val="15"/>
              <c:layout>
                <c:manualLayout>
                  <c:x val="-4.3459176216849159E-2"/>
                  <c:y val="-6.338028520462932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Haiti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34C-4524-A444-83999D24294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334C-4524-A444-83999D24294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34C-4524-A444-83999D24294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34C-4524-A444-83999D24294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34C-4524-A444-83999D24294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34C-4524-A444-83999D24294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34C-4524-A444-83999D24294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34C-4524-A444-83999D24294C}"/>
                </c:ext>
              </c:extLst>
            </c:dLbl>
            <c:dLbl>
              <c:idx val="23"/>
              <c:layout>
                <c:manualLayout>
                  <c:x val="0"/>
                  <c:y val="-8.4507046939505757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Suriname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34C-4524-A444-83999D24294C}"/>
                </c:ext>
              </c:extLst>
            </c:dLbl>
            <c:dLbl>
              <c:idx val="24"/>
              <c:layout>
                <c:manualLayout>
                  <c:x val="-9.6574831507859046E-17"/>
                  <c:y val="-1.90140855613887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Trinidad and Tobago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34C-4524-A444-83999D24294C}"/>
                </c:ext>
              </c:extLst>
            </c:dLbl>
            <c:dLbl>
              <c:idx val="25"/>
              <c:layout>
                <c:manualLayout>
                  <c:x val="-5.2677789353756553E-3"/>
                  <c:y val="1.901408556138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34C-4524-A444-83999D24294C}"/>
                </c:ext>
              </c:extLst>
            </c:dLbl>
            <c:dLbl>
              <c:idx val="26"/>
              <c:layout>
                <c:manualLayout>
                  <c:x val="-2.3705005209190451E-2"/>
                  <c:y val="1.69014093879011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Venezuela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34C-4524-A444-83999D2429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3.2531645819016741E-2"/>
                  <c:y val="0.15116281197531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Obitos'!$C$3:$C$29</c:f>
              <c:numCache>
                <c:formatCode>0.00</c:formatCode>
                <c:ptCount val="27"/>
                <c:pt idx="0">
                  <c:v>52.75</c:v>
                </c:pt>
                <c:pt idx="1">
                  <c:v>19.399999999999999</c:v>
                </c:pt>
                <c:pt idx="2">
                  <c:v>17.850000000000001</c:v>
                </c:pt>
                <c:pt idx="3">
                  <c:v>17.600000000000001</c:v>
                </c:pt>
                <c:pt idx="4">
                  <c:v>22.05</c:v>
                </c:pt>
                <c:pt idx="5">
                  <c:v>56.05</c:v>
                </c:pt>
                <c:pt idx="6">
                  <c:v>49.75</c:v>
                </c:pt>
                <c:pt idx="7">
                  <c:v>38.9</c:v>
                </c:pt>
                <c:pt idx="8">
                  <c:v>30.700000000000003</c:v>
                </c:pt>
                <c:pt idx="9">
                  <c:v>31.65</c:v>
                </c:pt>
                <c:pt idx="10">
                  <c:v>31.7</c:v>
                </c:pt>
                <c:pt idx="11">
                  <c:v>37.35</c:v>
                </c:pt>
                <c:pt idx="12">
                  <c:v>33.65</c:v>
                </c:pt>
                <c:pt idx="13">
                  <c:v>18.2</c:v>
                </c:pt>
                <c:pt idx="14">
                  <c:v>24.25</c:v>
                </c:pt>
                <c:pt idx="15">
                  <c:v>15.850000000000001</c:v>
                </c:pt>
                <c:pt idx="16">
                  <c:v>19.25</c:v>
                </c:pt>
                <c:pt idx="17">
                  <c:v>17.350000000000001</c:v>
                </c:pt>
                <c:pt idx="18">
                  <c:v>48.849999999999994</c:v>
                </c:pt>
                <c:pt idx="19">
                  <c:v>42.55</c:v>
                </c:pt>
                <c:pt idx="20">
                  <c:v>40.75</c:v>
                </c:pt>
                <c:pt idx="21">
                  <c:v>27.5</c:v>
                </c:pt>
                <c:pt idx="22">
                  <c:v>48.35</c:v>
                </c:pt>
                <c:pt idx="23">
                  <c:v>31.9</c:v>
                </c:pt>
                <c:pt idx="24">
                  <c:v>33.450000000000003</c:v>
                </c:pt>
                <c:pt idx="25">
                  <c:v>32.700000000000003</c:v>
                </c:pt>
                <c:pt idx="26">
                  <c:v>16.3</c:v>
                </c:pt>
              </c:numCache>
            </c:numRef>
          </c:xVal>
          <c:yVal>
            <c:numRef>
              <c:f>'GHS e Obitos'!$D$3:$D$29</c:f>
              <c:numCache>
                <c:formatCode>General</c:formatCode>
                <c:ptCount val="27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32.69</c:v>
                </c:pt>
                <c:pt idx="4">
                  <c:v>436.99</c:v>
                </c:pt>
                <c:pt idx="5">
                  <c:v>576.76</c:v>
                </c:pt>
                <c:pt idx="6">
                  <c:v>592.22</c:v>
                </c:pt>
                <c:pt idx="7">
                  <c:v>394.04</c:v>
                </c:pt>
                <c:pt idx="8">
                  <c:v>86.96</c:v>
                </c:pt>
                <c:pt idx="9">
                  <c:v>8.39</c:v>
                </c:pt>
                <c:pt idx="10">
                  <c:v>160.22</c:v>
                </c:pt>
                <c:pt idx="11">
                  <c:v>372.44</c:v>
                </c:pt>
                <c:pt idx="12">
                  <c:v>111.62</c:v>
                </c:pt>
                <c:pt idx="13">
                  <c:v>155.06</c:v>
                </c:pt>
                <c:pt idx="14">
                  <c:v>52.13</c:v>
                </c:pt>
                <c:pt idx="15">
                  <c:v>17.63</c:v>
                </c:pt>
                <c:pt idx="16">
                  <c:v>190.62</c:v>
                </c:pt>
                <c:pt idx="17">
                  <c:v>7.09</c:v>
                </c:pt>
                <c:pt idx="18">
                  <c:v>506.01</c:v>
                </c:pt>
                <c:pt idx="19">
                  <c:v>21.28</c:v>
                </c:pt>
                <c:pt idx="20">
                  <c:v>467.7</c:v>
                </c:pt>
                <c:pt idx="21">
                  <c:v>48.79</c:v>
                </c:pt>
                <c:pt idx="22">
                  <c:v>877.84</c:v>
                </c:pt>
                <c:pt idx="23">
                  <c:v>122.73</c:v>
                </c:pt>
                <c:pt idx="24">
                  <c:v>19.29</c:v>
                </c:pt>
                <c:pt idx="25">
                  <c:v>12.67</c:v>
                </c:pt>
                <c:pt idx="26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4C-4524-A444-83999D242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46128"/>
        <c:axId val="528748688"/>
      </c:scatterChart>
      <c:valAx>
        <c:axId val="528746128"/>
        <c:scaling>
          <c:orientation val="minMax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748688"/>
        <c:crosses val="autoZero"/>
        <c:crossBetween val="midCat"/>
      </c:valAx>
      <c:valAx>
        <c:axId val="52874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74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E64-4A37-9C01-DFDA8B7E06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t-BR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E64-4A37-9C01-DFDA8B7E0623}"/>
                </c:ext>
              </c:extLst>
            </c:dLbl>
            <c:dLbl>
              <c:idx val="2"/>
              <c:layout>
                <c:manualLayout>
                  <c:x val="-1.9314966301571809E-16"/>
                  <c:y val="-4.647887581672816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Barbados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E64-4A37-9C01-DFDA8B7E06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Belize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E64-4A37-9C01-DFDA8B7E06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E64-4A37-9C01-DFDA8B7E06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E64-4A37-9C01-DFDA8B7E06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E64-4A37-9C01-DFDA8B7E06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E64-4A37-9C01-DFDA8B7E06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E64-4A37-9C01-DFDA8B7E06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Domin. Rep.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E64-4A37-9C01-DFDA8B7E06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0E64-4A37-9C01-DFDA8B7E06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E64-4A37-9C01-DFDA8B7E06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0E64-4A37-9C01-DFDA8B7E06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0E64-4A37-9C01-DFDA8B7E0623}"/>
                </c:ext>
              </c:extLst>
            </c:dLbl>
            <c:dLbl>
              <c:idx val="14"/>
              <c:layout>
                <c:manualLayout>
                  <c:x val="-1.3169447338439151E-2"/>
                  <c:y val="-2.95774664288270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Haiti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E64-4A37-9C01-DFDA8B7E06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E64-4A37-9C01-DFDA8B7E06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0E64-4A37-9C01-DFDA8B7E06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0E64-4A37-9C01-DFDA8B7E0623}"/>
                </c:ext>
              </c:extLst>
            </c:dLbl>
            <c:dLbl>
              <c:idx val="18"/>
              <c:layout>
                <c:manualLayout>
                  <c:x val="1.1852502604595225E-2"/>
                  <c:y val="2.95774664288270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0E64-4A37-9C01-DFDA8B7E06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0E64-4A37-9C01-DFDA8B7E06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0E64-4A37-9C01-DFDA8B7E06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0E64-4A37-9C01-DFDA8B7E06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Suriname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0E64-4A37-9C01-DFDA8B7E0623}"/>
                </c:ext>
              </c:extLst>
            </c:dLbl>
            <c:dLbl>
              <c:idx val="23"/>
              <c:layout>
                <c:manualLayout>
                  <c:x val="-4.7410010418380902E-2"/>
                  <c:y val="-2.95774664288270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Trinidad &amp; Tob.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0E64-4A37-9C01-DFDA8B7E0623}"/>
                </c:ext>
              </c:extLst>
            </c:dLbl>
            <c:dLbl>
              <c:idx val="24"/>
              <c:layout>
                <c:manualLayout>
                  <c:x val="1.5803336806126965E-2"/>
                  <c:y val="1.47887332144133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0E64-4A37-9C01-DFDA8B7E0623}"/>
                </c:ext>
              </c:extLst>
            </c:dLbl>
            <c:dLbl>
              <c:idx val="25"/>
              <c:layout>
                <c:manualLayout>
                  <c:x val="-3.9508342015317412E-3"/>
                  <c:y val="-2.95774664288270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Venezuela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0E64-4A37-9C01-DFDA8B7E06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4.3470582824781051E-3"/>
                  <c:y val="-5.490279776548721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Obitos'!$C$112:$C$137</c:f>
              <c:numCache>
                <c:formatCode>General</c:formatCode>
                <c:ptCount val="26"/>
                <c:pt idx="0">
                  <c:v>9.89</c:v>
                </c:pt>
                <c:pt idx="2">
                  <c:v>18.138999999999999</c:v>
                </c:pt>
                <c:pt idx="3">
                  <c:v>4.6989999999999998</c:v>
                </c:pt>
                <c:pt idx="4">
                  <c:v>3.5659999999999998</c:v>
                </c:pt>
                <c:pt idx="5">
                  <c:v>8.9320000000000004</c:v>
                </c:pt>
                <c:pt idx="6">
                  <c:v>14.615</c:v>
                </c:pt>
                <c:pt idx="7">
                  <c:v>6.4189999999999996</c:v>
                </c:pt>
                <c:pt idx="8">
                  <c:v>12.599</c:v>
                </c:pt>
                <c:pt idx="9">
                  <c:v>8.5950000000000006</c:v>
                </c:pt>
                <c:pt idx="10">
                  <c:v>6.26</c:v>
                </c:pt>
                <c:pt idx="11">
                  <c:v>4.1859999999999999</c:v>
                </c:pt>
                <c:pt idx="12">
                  <c:v>4.3540000000000001</c:v>
                </c:pt>
                <c:pt idx="13">
                  <c:v>6.5940000000000003</c:v>
                </c:pt>
                <c:pt idx="14">
                  <c:v>1.272</c:v>
                </c:pt>
                <c:pt idx="15">
                  <c:v>2.5499999999999998</c:v>
                </c:pt>
                <c:pt idx="16">
                  <c:v>5.7809999999999997</c:v>
                </c:pt>
                <c:pt idx="17">
                  <c:v>10.023999999999999</c:v>
                </c:pt>
                <c:pt idx="18">
                  <c:v>1.92</c:v>
                </c:pt>
                <c:pt idx="19">
                  <c:v>15.83</c:v>
                </c:pt>
                <c:pt idx="20">
                  <c:v>5.3319999999999999</c:v>
                </c:pt>
                <c:pt idx="21">
                  <c:v>6.9580000000000002</c:v>
                </c:pt>
                <c:pt idx="22">
                  <c:v>6.1909999999999998</c:v>
                </c:pt>
                <c:pt idx="23">
                  <c:v>16.637</c:v>
                </c:pt>
                <c:pt idx="24">
                  <c:v>17.681000000000001</c:v>
                </c:pt>
                <c:pt idx="25">
                  <c:v>2.2989999999999999</c:v>
                </c:pt>
              </c:numCache>
            </c:numRef>
          </c:xVal>
          <c:yVal>
            <c:numRef>
              <c:f>'GHS e Obitos'!$D$112:$D$137</c:f>
              <c:numCache>
                <c:formatCode>General</c:formatCode>
                <c:ptCount val="26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32.69</c:v>
                </c:pt>
                <c:pt idx="4">
                  <c:v>436.99</c:v>
                </c:pt>
                <c:pt idx="5">
                  <c:v>576.76</c:v>
                </c:pt>
                <c:pt idx="6">
                  <c:v>592.22</c:v>
                </c:pt>
                <c:pt idx="7">
                  <c:v>394.04</c:v>
                </c:pt>
                <c:pt idx="8">
                  <c:v>86.96</c:v>
                </c:pt>
                <c:pt idx="9">
                  <c:v>160.22</c:v>
                </c:pt>
                <c:pt idx="10">
                  <c:v>372.44</c:v>
                </c:pt>
                <c:pt idx="11">
                  <c:v>111.62</c:v>
                </c:pt>
                <c:pt idx="12">
                  <c:v>155.06</c:v>
                </c:pt>
                <c:pt idx="13">
                  <c:v>52.13</c:v>
                </c:pt>
                <c:pt idx="14">
                  <c:v>17.63</c:v>
                </c:pt>
                <c:pt idx="15">
                  <c:v>190.62</c:v>
                </c:pt>
                <c:pt idx="16">
                  <c:v>7.09</c:v>
                </c:pt>
                <c:pt idx="17">
                  <c:v>506.01</c:v>
                </c:pt>
                <c:pt idx="18">
                  <c:v>21.28</c:v>
                </c:pt>
                <c:pt idx="19">
                  <c:v>467.7</c:v>
                </c:pt>
                <c:pt idx="20">
                  <c:v>48.79</c:v>
                </c:pt>
                <c:pt idx="21">
                  <c:v>877.84</c:v>
                </c:pt>
                <c:pt idx="22">
                  <c:v>122.73</c:v>
                </c:pt>
                <c:pt idx="23">
                  <c:v>19.29</c:v>
                </c:pt>
                <c:pt idx="24">
                  <c:v>12.67</c:v>
                </c:pt>
                <c:pt idx="25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4-4A37-9C01-DFDA8B7E0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003784"/>
        <c:axId val="566002184"/>
      </c:scatterChart>
      <c:valAx>
        <c:axId val="566003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6002184"/>
        <c:crosses val="autoZero"/>
        <c:crossBetween val="midCat"/>
      </c:valAx>
      <c:valAx>
        <c:axId val="56600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6003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0D8-4DFA-BD30-6B9705A70B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0D8-4DFA-BD30-6B9705A70B0C}"/>
                </c:ext>
              </c:extLst>
            </c:dLbl>
            <c:dLbl>
              <c:idx val="2"/>
              <c:layout>
                <c:manualLayout>
                  <c:x val="-2.6338894676878276E-3"/>
                  <c:y val="-1.2676057040925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Barbados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0D8-4DFA-BD30-6B9705A70B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Belize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0D8-4DFA-BD30-6B9705A70B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0D8-4DFA-BD30-6B9705A70B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0D8-4DFA-BD30-6B9705A70B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0D8-4DFA-BD30-6B9705A70B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0D8-4DFA-BD30-6B9705A70B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0D8-4DFA-BD30-6B9705A70B0C}"/>
                </c:ext>
              </c:extLst>
            </c:dLbl>
            <c:dLbl>
              <c:idx val="9"/>
              <c:layout>
                <c:manualLayout>
                  <c:x val="-2.2388060475346534E-2"/>
                  <c:y val="2.323943790836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Cuba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0D8-4DFA-BD30-6B9705A70B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Dominican Republic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0D8-4DFA-BD30-6B9705A70B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0D8-4DFA-BD30-6B9705A70B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0D8-4DFA-BD30-6B9705A70B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0D8-4DFA-BD30-6B9705A70B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0D8-4DFA-BD30-6B9705A70B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Haiti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0D8-4DFA-BD30-6B9705A70B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0D8-4DFA-BD30-6B9705A70B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0D8-4DFA-BD30-6B9705A70B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0D8-4DFA-BD30-6B9705A70B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0D8-4DFA-BD30-6B9705A70B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0D8-4DFA-BD30-6B9705A70B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0D8-4DFA-BD30-6B9705A70B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E0D8-4DFA-BD30-6B9705A70B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Suriname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E0D8-4DFA-BD30-6B9705A70B0C}"/>
                </c:ext>
              </c:extLst>
            </c:dLbl>
            <c:dLbl>
              <c:idx val="24"/>
              <c:layout>
                <c:manualLayout>
                  <c:x val="-6.584723669219579E-2"/>
                  <c:y val="-3.16901426023146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Trinidad and Tobago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E0D8-4DFA-BD30-6B9705A70B0C}"/>
                </c:ext>
              </c:extLst>
            </c:dLbl>
            <c:dLbl>
              <c:idx val="25"/>
              <c:layout>
                <c:manualLayout>
                  <c:x val="0"/>
                  <c:y val="1.69014093879011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E0D8-4DFA-BD30-6B9705A70B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Venezuela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E0D8-4DFA-BD30-6B9705A70B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8.0572026870235208E-2"/>
                  <c:y val="-1.433492371825025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Obitos'!$C$139:$C$165</c:f>
              <c:numCache>
                <c:formatCode>0.000</c:formatCode>
                <c:ptCount val="27"/>
                <c:pt idx="0">
                  <c:v>0.84499999999999997</c:v>
                </c:pt>
                <c:pt idx="1">
                  <c:v>0.57099999999999995</c:v>
                </c:pt>
                <c:pt idx="2">
                  <c:v>0.81399999999999995</c:v>
                </c:pt>
                <c:pt idx="3">
                  <c:v>0.71599999999999997</c:v>
                </c:pt>
                <c:pt idx="4">
                  <c:v>0.71799999999999997</c:v>
                </c:pt>
                <c:pt idx="5">
                  <c:v>0.76500000000000001</c:v>
                </c:pt>
                <c:pt idx="6">
                  <c:v>0.85099999999999998</c:v>
                </c:pt>
                <c:pt idx="7">
                  <c:v>0.76700000000000002</c:v>
                </c:pt>
                <c:pt idx="8">
                  <c:v>0.81</c:v>
                </c:pt>
                <c:pt idx="9">
                  <c:v>0.78300000000000003</c:v>
                </c:pt>
                <c:pt idx="10">
                  <c:v>0.75600000000000001</c:v>
                </c:pt>
                <c:pt idx="11">
                  <c:v>0.75900000000000001</c:v>
                </c:pt>
                <c:pt idx="12">
                  <c:v>0.67300000000000004</c:v>
                </c:pt>
                <c:pt idx="13">
                  <c:v>0.66300000000000003</c:v>
                </c:pt>
                <c:pt idx="14">
                  <c:v>0.68200000000000005</c:v>
                </c:pt>
                <c:pt idx="15">
                  <c:v>0.51</c:v>
                </c:pt>
                <c:pt idx="16">
                  <c:v>0.63400000000000001</c:v>
                </c:pt>
                <c:pt idx="17">
                  <c:v>0.73399999999999999</c:v>
                </c:pt>
                <c:pt idx="18">
                  <c:v>0.77900000000000003</c:v>
                </c:pt>
                <c:pt idx="19">
                  <c:v>0.57099999999999995</c:v>
                </c:pt>
                <c:pt idx="20">
                  <c:v>0.81499999999999995</c:v>
                </c:pt>
                <c:pt idx="21">
                  <c:v>0.72799999999999998</c:v>
                </c:pt>
                <c:pt idx="22">
                  <c:v>0.77700000000000002</c:v>
                </c:pt>
                <c:pt idx="23">
                  <c:v>0.73799999999999999</c:v>
                </c:pt>
                <c:pt idx="24">
                  <c:v>0.79600000000000004</c:v>
                </c:pt>
                <c:pt idx="25">
                  <c:v>0.81699999999999995</c:v>
                </c:pt>
                <c:pt idx="26">
                  <c:v>0.71099999999999997</c:v>
                </c:pt>
              </c:numCache>
            </c:numRef>
          </c:xVal>
          <c:yVal>
            <c:numRef>
              <c:f>'GHS e Obitos'!$D$139:$D$165</c:f>
              <c:numCache>
                <c:formatCode>General</c:formatCode>
                <c:ptCount val="27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32.69</c:v>
                </c:pt>
                <c:pt idx="4">
                  <c:v>436.99</c:v>
                </c:pt>
                <c:pt idx="5">
                  <c:v>576.76</c:v>
                </c:pt>
                <c:pt idx="6">
                  <c:v>592.22</c:v>
                </c:pt>
                <c:pt idx="7">
                  <c:v>394.04</c:v>
                </c:pt>
                <c:pt idx="8">
                  <c:v>86.96</c:v>
                </c:pt>
                <c:pt idx="9">
                  <c:v>8.39</c:v>
                </c:pt>
                <c:pt idx="10">
                  <c:v>160.22</c:v>
                </c:pt>
                <c:pt idx="11">
                  <c:v>372.44</c:v>
                </c:pt>
                <c:pt idx="12">
                  <c:v>111.62</c:v>
                </c:pt>
                <c:pt idx="13">
                  <c:v>155.06</c:v>
                </c:pt>
                <c:pt idx="14">
                  <c:v>52.13</c:v>
                </c:pt>
                <c:pt idx="15">
                  <c:v>17.63</c:v>
                </c:pt>
                <c:pt idx="16">
                  <c:v>190.62</c:v>
                </c:pt>
                <c:pt idx="17">
                  <c:v>7.09</c:v>
                </c:pt>
                <c:pt idx="18">
                  <c:v>506.01</c:v>
                </c:pt>
                <c:pt idx="19">
                  <c:v>21.28</c:v>
                </c:pt>
                <c:pt idx="20">
                  <c:v>467.7</c:v>
                </c:pt>
                <c:pt idx="21">
                  <c:v>48.79</c:v>
                </c:pt>
                <c:pt idx="22">
                  <c:v>877.84</c:v>
                </c:pt>
                <c:pt idx="23">
                  <c:v>122.73</c:v>
                </c:pt>
                <c:pt idx="24">
                  <c:v>19.29</c:v>
                </c:pt>
                <c:pt idx="25">
                  <c:v>12.67</c:v>
                </c:pt>
                <c:pt idx="26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D8-4DFA-BD30-6B9705A70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63664"/>
        <c:axId val="247260784"/>
      </c:scatterChart>
      <c:valAx>
        <c:axId val="247263664"/>
        <c:scaling>
          <c:orientation val="minMax"/>
          <c:min val="0.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7260784"/>
        <c:crosses val="autoZero"/>
        <c:crossBetween val="midCat"/>
      </c:valAx>
      <c:valAx>
        <c:axId val="24726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7263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FF8-432C-A5F7-FD199E1807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t-BR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FF8-432C-A5F7-FD199E1807DD}"/>
                </c:ext>
              </c:extLst>
            </c:dLbl>
            <c:dLbl>
              <c:idx val="2"/>
              <c:layout>
                <c:manualLayout>
                  <c:x val="-1.9314966301571809E-16"/>
                  <c:y val="-4.647887581672816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Barbados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FF8-432C-A5F7-FD199E1807DD}"/>
                </c:ext>
              </c:extLst>
            </c:dLbl>
            <c:dLbl>
              <c:idx val="3"/>
              <c:layout>
                <c:manualLayout>
                  <c:x val="-3.2242063492063495E-2"/>
                  <c:y val="2.00320449626347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Belize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FF8-432C-A5F7-FD199E1807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FF8-432C-A5F7-FD199E1807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FF8-432C-A5F7-FD199E1807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FF8-432C-A5F7-FD199E1807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FF8-432C-A5F7-FD199E1807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FF8-432C-A5F7-FD199E1807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Domin. Rep.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FF8-432C-A5F7-FD199E1807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FF8-432C-A5F7-FD199E1807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FF8-432C-A5F7-FD199E1807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FF8-432C-A5F7-FD199E1807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FF8-432C-A5F7-FD199E1807DD}"/>
                </c:ext>
              </c:extLst>
            </c:dLbl>
            <c:dLbl>
              <c:idx val="14"/>
              <c:layout>
                <c:manualLayout>
                  <c:x val="-6.0292463442069753E-2"/>
                  <c:y val="-4.960943821628376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Haiti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FF8-432C-A5F7-FD199E1807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FF8-432C-A5F7-FD199E1807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FF8-432C-A5F7-FD199E1807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FF8-432C-A5F7-FD199E1807DD}"/>
                </c:ext>
              </c:extLst>
            </c:dLbl>
            <c:dLbl>
              <c:idx val="18"/>
              <c:layout>
                <c:manualLayout>
                  <c:x val="1.1852502604595225E-2"/>
                  <c:y val="2.95774664288270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FF8-432C-A5F7-FD199E1807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FF8-432C-A5F7-FD199E1807DD}"/>
                </c:ext>
              </c:extLst>
            </c:dLbl>
            <c:dLbl>
              <c:idx val="20"/>
              <c:layout>
                <c:manualLayout>
                  <c:x val="-2.48015873015873E-2"/>
                  <c:y val="-1.2019226977580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FF8-432C-A5F7-FD199E1807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6FF8-432C-A5F7-FD199E1807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Suriname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6FF8-432C-A5F7-FD199E1807DD}"/>
                </c:ext>
              </c:extLst>
            </c:dLbl>
            <c:dLbl>
              <c:idx val="23"/>
              <c:layout>
                <c:manualLayout>
                  <c:x val="-4.7410010418380902E-2"/>
                  <c:y val="-2.95774664288270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Trinidad &amp; Tob.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FF8-432C-A5F7-FD199E1807DD}"/>
                </c:ext>
              </c:extLst>
            </c:dLbl>
            <c:dLbl>
              <c:idx val="24"/>
              <c:layout>
                <c:manualLayout>
                  <c:x val="1.5803336806126965E-2"/>
                  <c:y val="1.47887332144133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6FF8-432C-A5F7-FD199E1807DD}"/>
                </c:ext>
              </c:extLst>
            </c:dLbl>
            <c:dLbl>
              <c:idx val="25"/>
              <c:layout>
                <c:manualLayout>
                  <c:x val="-2.3792143169603822E-2"/>
                  <c:y val="-5.762225620133751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Venezuela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6FF8-432C-A5F7-FD199E1807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4.3470582824781051E-3"/>
                  <c:y val="-5.490279776548721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Obitos'!$C$112:$C$137</c:f>
              <c:numCache>
                <c:formatCode>General</c:formatCode>
                <c:ptCount val="26"/>
                <c:pt idx="0">
                  <c:v>9.89</c:v>
                </c:pt>
                <c:pt idx="2">
                  <c:v>18.138999999999999</c:v>
                </c:pt>
                <c:pt idx="3">
                  <c:v>4.6989999999999998</c:v>
                </c:pt>
                <c:pt idx="4">
                  <c:v>3.5659999999999998</c:v>
                </c:pt>
                <c:pt idx="5">
                  <c:v>8.9320000000000004</c:v>
                </c:pt>
                <c:pt idx="6">
                  <c:v>14.615</c:v>
                </c:pt>
                <c:pt idx="7">
                  <c:v>6.4189999999999996</c:v>
                </c:pt>
                <c:pt idx="8">
                  <c:v>12.599</c:v>
                </c:pt>
                <c:pt idx="9">
                  <c:v>8.5950000000000006</c:v>
                </c:pt>
                <c:pt idx="10">
                  <c:v>6.26</c:v>
                </c:pt>
                <c:pt idx="11">
                  <c:v>4.1859999999999999</c:v>
                </c:pt>
                <c:pt idx="12">
                  <c:v>4.3540000000000001</c:v>
                </c:pt>
                <c:pt idx="13">
                  <c:v>6.5940000000000003</c:v>
                </c:pt>
                <c:pt idx="14">
                  <c:v>1.272</c:v>
                </c:pt>
                <c:pt idx="15">
                  <c:v>2.5499999999999998</c:v>
                </c:pt>
                <c:pt idx="16">
                  <c:v>5.7809999999999997</c:v>
                </c:pt>
                <c:pt idx="17">
                  <c:v>10.023999999999999</c:v>
                </c:pt>
                <c:pt idx="18">
                  <c:v>1.92</c:v>
                </c:pt>
                <c:pt idx="19">
                  <c:v>15.83</c:v>
                </c:pt>
                <c:pt idx="20">
                  <c:v>5.3319999999999999</c:v>
                </c:pt>
                <c:pt idx="21">
                  <c:v>6.9580000000000002</c:v>
                </c:pt>
                <c:pt idx="22">
                  <c:v>6.1909999999999998</c:v>
                </c:pt>
                <c:pt idx="23">
                  <c:v>16.637</c:v>
                </c:pt>
                <c:pt idx="24">
                  <c:v>17.681000000000001</c:v>
                </c:pt>
                <c:pt idx="25">
                  <c:v>2.2989999999999999</c:v>
                </c:pt>
              </c:numCache>
            </c:numRef>
          </c:xVal>
          <c:yVal>
            <c:numRef>
              <c:f>'GHS e Obitos'!$D$112:$D$137</c:f>
              <c:numCache>
                <c:formatCode>General</c:formatCode>
                <c:ptCount val="26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32.69</c:v>
                </c:pt>
                <c:pt idx="4">
                  <c:v>436.99</c:v>
                </c:pt>
                <c:pt idx="5">
                  <c:v>576.76</c:v>
                </c:pt>
                <c:pt idx="6">
                  <c:v>592.22</c:v>
                </c:pt>
                <c:pt idx="7">
                  <c:v>394.04</c:v>
                </c:pt>
                <c:pt idx="8">
                  <c:v>86.96</c:v>
                </c:pt>
                <c:pt idx="9">
                  <c:v>160.22</c:v>
                </c:pt>
                <c:pt idx="10">
                  <c:v>372.44</c:v>
                </c:pt>
                <c:pt idx="11">
                  <c:v>111.62</c:v>
                </c:pt>
                <c:pt idx="12">
                  <c:v>155.06</c:v>
                </c:pt>
                <c:pt idx="13">
                  <c:v>52.13</c:v>
                </c:pt>
                <c:pt idx="14">
                  <c:v>17.63</c:v>
                </c:pt>
                <c:pt idx="15">
                  <c:v>190.62</c:v>
                </c:pt>
                <c:pt idx="16">
                  <c:v>7.09</c:v>
                </c:pt>
                <c:pt idx="17">
                  <c:v>506.01</c:v>
                </c:pt>
                <c:pt idx="18">
                  <c:v>21.28</c:v>
                </c:pt>
                <c:pt idx="19">
                  <c:v>467.7</c:v>
                </c:pt>
                <c:pt idx="20">
                  <c:v>48.79</c:v>
                </c:pt>
                <c:pt idx="21">
                  <c:v>877.84</c:v>
                </c:pt>
                <c:pt idx="22">
                  <c:v>122.73</c:v>
                </c:pt>
                <c:pt idx="23">
                  <c:v>19.29</c:v>
                </c:pt>
                <c:pt idx="24">
                  <c:v>12.67</c:v>
                </c:pt>
                <c:pt idx="25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FF8-432C-A5F7-FD199E180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003784"/>
        <c:axId val="566002184"/>
      </c:scatterChart>
      <c:valAx>
        <c:axId val="566003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6002184"/>
        <c:crosses val="autoZero"/>
        <c:crossBetween val="midCat"/>
      </c:valAx>
      <c:valAx>
        <c:axId val="56600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6003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ABF-456A-B530-405C4E66C3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ABF-456A-B530-405C4E66C3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Belize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ABF-456A-B530-405C4E66C3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ABF-456A-B530-405C4E66C3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ABF-456A-B530-405C4E66C3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ABF-456A-B530-405C4E66C3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ABF-456A-B530-405C4E66C3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ABF-456A-B530-405C4E66C317}"/>
                </c:ext>
              </c:extLst>
            </c:dLbl>
            <c:dLbl>
              <c:idx val="8"/>
              <c:layout>
                <c:manualLayout>
                  <c:x val="-3.8212824835049515E-2"/>
                  <c:y val="-5.617979599066471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Domin. Republic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ABF-456A-B530-405C4E66C3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ABF-456A-B530-405C4E66C3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ABF-456A-B530-405C4E66C3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ABF-456A-B530-405C4E66C3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ABF-456A-B530-405C4E66C3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pt-BR"/>
                      <a:t>Haiti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ABF-456A-B530-405C4E66C3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ABF-456A-B530-405C4E66C3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ABF-456A-B530-405C4E66C3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ABF-456A-B530-405C4E66C3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ABF-456A-B530-405C4E66C3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5ABF-456A-B530-405C4E66C3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ABF-456A-B530-405C4E66C3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5ABF-456A-B530-405C4E66C3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Suriname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5ABF-456A-B530-405C4E66C3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Trin.&amp; Tob.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ABF-456A-B530-405C4E66C3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5ABF-456A-B530-405C4E66C3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Venezuela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5ABF-456A-B530-405C4E66C3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1.3510717410323709E-2"/>
                  <c:y val="-0.4072200349956255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Obitos'!$C$83:$C$107</c:f>
              <c:numCache>
                <c:formatCode>General</c:formatCode>
                <c:ptCount val="25"/>
                <c:pt idx="0">
                  <c:v>10.371</c:v>
                </c:pt>
                <c:pt idx="1">
                  <c:v>7.17</c:v>
                </c:pt>
                <c:pt idx="2">
                  <c:v>14.099000000000004</c:v>
                </c:pt>
                <c:pt idx="3">
                  <c:v>34.629999999999995</c:v>
                </c:pt>
                <c:pt idx="4">
                  <c:v>14.8719</c:v>
                </c:pt>
                <c:pt idx="5">
                  <c:v>7.4610000000000003</c:v>
                </c:pt>
                <c:pt idx="6">
                  <c:v>14.806999999999999</c:v>
                </c:pt>
                <c:pt idx="7">
                  <c:v>8.990000000000002</c:v>
                </c:pt>
                <c:pt idx="8">
                  <c:v>29.954999999999998</c:v>
                </c:pt>
                <c:pt idx="9">
                  <c:v>14.491</c:v>
                </c:pt>
                <c:pt idx="10">
                  <c:v>27.340000000000003</c:v>
                </c:pt>
                <c:pt idx="11">
                  <c:v>31.250000000000004</c:v>
                </c:pt>
                <c:pt idx="12">
                  <c:v>18.149000000000001</c:v>
                </c:pt>
                <c:pt idx="14">
                  <c:v>15.337000000000002</c:v>
                </c:pt>
                <c:pt idx="15">
                  <c:v>13.454000000000001</c:v>
                </c:pt>
                <c:pt idx="16">
                  <c:v>17.347000000000001</c:v>
                </c:pt>
                <c:pt idx="17">
                  <c:v>16.091999999999999</c:v>
                </c:pt>
                <c:pt idx="18">
                  <c:v>14.979999999999999</c:v>
                </c:pt>
                <c:pt idx="19">
                  <c:v>20.88</c:v>
                </c:pt>
                <c:pt idx="20">
                  <c:v>14.501000000000001</c:v>
                </c:pt>
                <c:pt idx="21">
                  <c:v>19.649999999999999</c:v>
                </c:pt>
                <c:pt idx="22">
                  <c:v>26.45</c:v>
                </c:pt>
                <c:pt idx="23">
                  <c:v>8.1929999999999996</c:v>
                </c:pt>
                <c:pt idx="24">
                  <c:v>30.878999999999998</c:v>
                </c:pt>
              </c:numCache>
            </c:numRef>
          </c:xVal>
          <c:yVal>
            <c:numRef>
              <c:f>'GHS e Obitos'!$D$83:$D$107</c:f>
              <c:numCache>
                <c:formatCode>General</c:formatCode>
                <c:ptCount val="25"/>
                <c:pt idx="0">
                  <c:v>197.34</c:v>
                </c:pt>
                <c:pt idx="1">
                  <c:v>127.15</c:v>
                </c:pt>
                <c:pt idx="2">
                  <c:v>32.69</c:v>
                </c:pt>
                <c:pt idx="3">
                  <c:v>436.99</c:v>
                </c:pt>
                <c:pt idx="4">
                  <c:v>576.76</c:v>
                </c:pt>
                <c:pt idx="5">
                  <c:v>592.22</c:v>
                </c:pt>
                <c:pt idx="6">
                  <c:v>394.04</c:v>
                </c:pt>
                <c:pt idx="7">
                  <c:v>86.96</c:v>
                </c:pt>
                <c:pt idx="8">
                  <c:v>160.22</c:v>
                </c:pt>
                <c:pt idx="9">
                  <c:v>372.44</c:v>
                </c:pt>
                <c:pt idx="10">
                  <c:v>155.06</c:v>
                </c:pt>
                <c:pt idx="11">
                  <c:v>52.13</c:v>
                </c:pt>
                <c:pt idx="12">
                  <c:v>190</c:v>
                </c:pt>
                <c:pt idx="13">
                  <c:v>17.3</c:v>
                </c:pt>
                <c:pt idx="14">
                  <c:v>7.09</c:v>
                </c:pt>
                <c:pt idx="15">
                  <c:v>506.01</c:v>
                </c:pt>
                <c:pt idx="16">
                  <c:v>21.28</c:v>
                </c:pt>
                <c:pt idx="17">
                  <c:v>467.7</c:v>
                </c:pt>
                <c:pt idx="18">
                  <c:v>877.84</c:v>
                </c:pt>
                <c:pt idx="19">
                  <c:v>48.79</c:v>
                </c:pt>
                <c:pt idx="20">
                  <c:v>111.62</c:v>
                </c:pt>
                <c:pt idx="21">
                  <c:v>122.73</c:v>
                </c:pt>
                <c:pt idx="22">
                  <c:v>19.29</c:v>
                </c:pt>
                <c:pt idx="23">
                  <c:v>12.67</c:v>
                </c:pt>
                <c:pt idx="24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ABF-456A-B530-405C4E66C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621944"/>
        <c:axId val="538620984"/>
      </c:scatterChart>
      <c:valAx>
        <c:axId val="538621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8620984"/>
        <c:crosses val="autoZero"/>
        <c:crossBetween val="midCat"/>
      </c:valAx>
      <c:valAx>
        <c:axId val="53862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8621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1D1-4C00-AFCB-8C27FB2F9F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1D1-4C00-AFCB-8C27FB2F9F2A}"/>
                </c:ext>
              </c:extLst>
            </c:dLbl>
            <c:dLbl>
              <c:idx val="2"/>
              <c:layout>
                <c:manualLayout>
                  <c:x val="1.8437226273814698E-2"/>
                  <c:y val="-1.2676057040925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Barbados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1D1-4C00-AFCB-8C27FB2F9F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1D1-4C00-AFCB-8C27FB2F9F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1D1-4C00-AFCB-8C27FB2F9F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1D1-4C00-AFCB-8C27FB2F9F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1D1-4C00-AFCB-8C27FB2F9F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1D1-4C00-AFCB-8C27FB2F9F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Dominican Republic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1D1-4C00-AFCB-8C27FB2F9F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1D1-4C00-AFCB-8C27FB2F9F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1D1-4C00-AFCB-8C27FB2F9F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1D1-4C00-AFCB-8C27FB2F9F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1D1-4C00-AFCB-8C27FB2F9F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1D1-4C00-AFCB-8C27FB2F9F2A}"/>
                </c:ext>
              </c:extLst>
            </c:dLbl>
            <c:dLbl>
              <c:idx val="14"/>
              <c:layout>
                <c:manualLayout>
                  <c:x val="3.4472105210346958E-2"/>
                  <c:y val="8.302590332423710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1D1-4C00-AFCB-8C27FB2F9F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1D1-4C00-AFCB-8C27FB2F9F2A}"/>
                </c:ext>
              </c:extLst>
            </c:dLbl>
            <c:dLbl>
              <c:idx val="16"/>
              <c:layout>
                <c:manualLayout>
                  <c:x val="-7.1115015627571346E-2"/>
                  <c:y val="-2.3239437908364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1D1-4C00-AFCB-8C27FB2F9F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1D1-4C00-AFCB-8C27FB2F9F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1D1-4C00-AFCB-8C27FB2F9F2A}"/>
                </c:ext>
              </c:extLst>
            </c:dLbl>
            <c:dLbl>
              <c:idx val="19"/>
              <c:layout>
                <c:manualLayout>
                  <c:x val="-7.8039323917171749E-2"/>
                  <c:y val="2.112666598482805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1D1-4C00-AFCB-8C27FB2F9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2.9122484689413822E-2"/>
                  <c:y val="-7.81087780694079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Obitos'!$C$32:$C$51</c:f>
              <c:numCache>
                <c:formatCode>General</c:formatCode>
                <c:ptCount val="20"/>
                <c:pt idx="0">
                  <c:v>0.9</c:v>
                </c:pt>
                <c:pt idx="1">
                  <c:v>2.5</c:v>
                </c:pt>
                <c:pt idx="2">
                  <c:v>3.5</c:v>
                </c:pt>
                <c:pt idx="3">
                  <c:v>1.9</c:v>
                </c:pt>
                <c:pt idx="4">
                  <c:v>2</c:v>
                </c:pt>
                <c:pt idx="5">
                  <c:v>4.5</c:v>
                </c:pt>
                <c:pt idx="6">
                  <c:v>2.8</c:v>
                </c:pt>
                <c:pt idx="7">
                  <c:v>0.8</c:v>
                </c:pt>
                <c:pt idx="8">
                  <c:v>1.7</c:v>
                </c:pt>
                <c:pt idx="9">
                  <c:v>2.5</c:v>
                </c:pt>
                <c:pt idx="10">
                  <c:v>2.5</c:v>
                </c:pt>
                <c:pt idx="11">
                  <c:v>1.1000000000000001</c:v>
                </c:pt>
                <c:pt idx="12">
                  <c:v>3.5</c:v>
                </c:pt>
                <c:pt idx="13">
                  <c:v>2.8</c:v>
                </c:pt>
                <c:pt idx="14">
                  <c:v>3.6</c:v>
                </c:pt>
                <c:pt idx="15">
                  <c:v>1.1000000000000001</c:v>
                </c:pt>
                <c:pt idx="16">
                  <c:v>3.4</c:v>
                </c:pt>
                <c:pt idx="17">
                  <c:v>1.7</c:v>
                </c:pt>
                <c:pt idx="18">
                  <c:v>1.9</c:v>
                </c:pt>
                <c:pt idx="19">
                  <c:v>3.4</c:v>
                </c:pt>
              </c:numCache>
            </c:numRef>
          </c:xVal>
          <c:yVal>
            <c:numRef>
              <c:f>'GHS e Obitos'!$D$32:$D$51</c:f>
              <c:numCache>
                <c:formatCode>General</c:formatCode>
                <c:ptCount val="20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436.99</c:v>
                </c:pt>
                <c:pt idx="4">
                  <c:v>576.76</c:v>
                </c:pt>
                <c:pt idx="5">
                  <c:v>592.22</c:v>
                </c:pt>
                <c:pt idx="6">
                  <c:v>394.04</c:v>
                </c:pt>
                <c:pt idx="7">
                  <c:v>86.96</c:v>
                </c:pt>
                <c:pt idx="8">
                  <c:v>160.22</c:v>
                </c:pt>
                <c:pt idx="9">
                  <c:v>372.44</c:v>
                </c:pt>
                <c:pt idx="10">
                  <c:v>111.62</c:v>
                </c:pt>
                <c:pt idx="11">
                  <c:v>155.06</c:v>
                </c:pt>
                <c:pt idx="12">
                  <c:v>52.13</c:v>
                </c:pt>
                <c:pt idx="13">
                  <c:v>190.62</c:v>
                </c:pt>
                <c:pt idx="14">
                  <c:v>7.09</c:v>
                </c:pt>
                <c:pt idx="15">
                  <c:v>506.01</c:v>
                </c:pt>
                <c:pt idx="16">
                  <c:v>21.28</c:v>
                </c:pt>
                <c:pt idx="17">
                  <c:v>467.7</c:v>
                </c:pt>
                <c:pt idx="18">
                  <c:v>48.79</c:v>
                </c:pt>
                <c:pt idx="19">
                  <c:v>12.67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21D1-4C00-AFCB-8C27FB2F9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563256"/>
        <c:axId val="564570616"/>
      </c:scatterChart>
      <c:valAx>
        <c:axId val="564563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4570616"/>
        <c:crosses val="autoZero"/>
        <c:crossBetween val="midCat"/>
      </c:valAx>
      <c:valAx>
        <c:axId val="56457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4563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CE0-4995-93F9-FA82BB1F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CE0-4995-93F9-FA82BB1FBE85}"/>
                </c:ext>
              </c:extLst>
            </c:dLbl>
            <c:dLbl>
              <c:idx val="2"/>
              <c:layout>
                <c:manualLayout>
                  <c:x val="-2.6338894676878276E-3"/>
                  <c:y val="-1.267605704092586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Barbados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CE0-4995-93F9-FA82BB1F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Belize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CE0-4995-93F9-FA82BB1F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CE0-4995-93F9-FA82BB1FBE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CE0-4995-93F9-FA82BB1FBE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CE0-4995-93F9-FA82BB1FBE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CE0-4995-93F9-FA82BB1FBE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CE0-4995-93F9-FA82BB1FBE85}"/>
                </c:ext>
              </c:extLst>
            </c:dLbl>
            <c:dLbl>
              <c:idx val="9"/>
              <c:layout>
                <c:manualLayout>
                  <c:x val="-2.2388060475346534E-2"/>
                  <c:y val="2.323943790836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Cuba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CE0-4995-93F9-FA82BB1FBE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Dominican Republic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CCE0-4995-93F9-FA82BB1FBE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CCE0-4995-93F9-FA82BB1FBE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CCE0-4995-93F9-FA82BB1FBE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CCE0-4995-93F9-FA82BB1FBE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CCE0-4995-93F9-FA82BB1FBE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Haiti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CCE0-4995-93F9-FA82BB1FBE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CE0-4995-93F9-FA82BB1FBE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CE0-4995-93F9-FA82BB1FBE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CCE0-4995-93F9-FA82BB1FBE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CCE0-4995-93F9-FA82BB1FBE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CCE0-4995-93F9-FA82BB1FBE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CCE0-4995-93F9-FA82BB1FBE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CCE0-4995-93F9-FA82BB1FBE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Suriname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CCE0-4995-93F9-FA82BB1FBE85}"/>
                </c:ext>
              </c:extLst>
            </c:dLbl>
            <c:dLbl>
              <c:idx val="24"/>
              <c:layout>
                <c:manualLayout>
                  <c:x val="-6.584723669219579E-2"/>
                  <c:y val="-3.16901426023146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Trinidad and Tobago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CCE0-4995-93F9-FA82BB1FBE85}"/>
                </c:ext>
              </c:extLst>
            </c:dLbl>
            <c:dLbl>
              <c:idx val="25"/>
              <c:layout>
                <c:manualLayout>
                  <c:x val="0"/>
                  <c:y val="1.69014093879011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CCE0-4995-93F9-FA82BB1FBE85}"/>
                </c:ext>
              </c:extLst>
            </c:dLbl>
            <c:dLbl>
              <c:idx val="26"/>
              <c:layout>
                <c:manualLayout>
                  <c:x val="-1.7841547391317689E-2"/>
                  <c:y val="1.3872716190442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Venezuela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CCE0-4995-93F9-FA82BB1F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8.0572026870235208E-2"/>
                  <c:y val="-1.433492371825025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Obitos'!$C$139:$C$165</c:f>
              <c:numCache>
                <c:formatCode>0.000</c:formatCode>
                <c:ptCount val="27"/>
                <c:pt idx="0">
                  <c:v>0.84499999999999997</c:v>
                </c:pt>
                <c:pt idx="1">
                  <c:v>0.57099999999999995</c:v>
                </c:pt>
                <c:pt idx="2">
                  <c:v>0.81399999999999995</c:v>
                </c:pt>
                <c:pt idx="3">
                  <c:v>0.71599999999999997</c:v>
                </c:pt>
                <c:pt idx="4">
                  <c:v>0.71799999999999997</c:v>
                </c:pt>
                <c:pt idx="5">
                  <c:v>0.76500000000000001</c:v>
                </c:pt>
                <c:pt idx="6">
                  <c:v>0.85099999999999998</c:v>
                </c:pt>
                <c:pt idx="7">
                  <c:v>0.76700000000000002</c:v>
                </c:pt>
                <c:pt idx="8">
                  <c:v>0.81</c:v>
                </c:pt>
                <c:pt idx="9">
                  <c:v>0.78300000000000003</c:v>
                </c:pt>
                <c:pt idx="10">
                  <c:v>0.75600000000000001</c:v>
                </c:pt>
                <c:pt idx="11">
                  <c:v>0.75900000000000001</c:v>
                </c:pt>
                <c:pt idx="12">
                  <c:v>0.67300000000000004</c:v>
                </c:pt>
                <c:pt idx="13">
                  <c:v>0.66300000000000003</c:v>
                </c:pt>
                <c:pt idx="14">
                  <c:v>0.68200000000000005</c:v>
                </c:pt>
                <c:pt idx="15">
                  <c:v>0.51</c:v>
                </c:pt>
                <c:pt idx="16">
                  <c:v>0.63400000000000001</c:v>
                </c:pt>
                <c:pt idx="17">
                  <c:v>0.73399999999999999</c:v>
                </c:pt>
                <c:pt idx="18">
                  <c:v>0.77900000000000003</c:v>
                </c:pt>
                <c:pt idx="19">
                  <c:v>0.57099999999999995</c:v>
                </c:pt>
                <c:pt idx="20">
                  <c:v>0.81499999999999995</c:v>
                </c:pt>
                <c:pt idx="21">
                  <c:v>0.72799999999999998</c:v>
                </c:pt>
                <c:pt idx="22">
                  <c:v>0.77700000000000002</c:v>
                </c:pt>
                <c:pt idx="23">
                  <c:v>0.73799999999999999</c:v>
                </c:pt>
                <c:pt idx="24">
                  <c:v>0.79600000000000004</c:v>
                </c:pt>
                <c:pt idx="25">
                  <c:v>0.81699999999999995</c:v>
                </c:pt>
                <c:pt idx="26">
                  <c:v>0.71099999999999997</c:v>
                </c:pt>
              </c:numCache>
            </c:numRef>
          </c:xVal>
          <c:yVal>
            <c:numRef>
              <c:f>'GHS e Obitos'!$D$139:$D$165</c:f>
              <c:numCache>
                <c:formatCode>General</c:formatCode>
                <c:ptCount val="27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32.69</c:v>
                </c:pt>
                <c:pt idx="4">
                  <c:v>436.99</c:v>
                </c:pt>
                <c:pt idx="5">
                  <c:v>576.76</c:v>
                </c:pt>
                <c:pt idx="6">
                  <c:v>592.22</c:v>
                </c:pt>
                <c:pt idx="7">
                  <c:v>394.04</c:v>
                </c:pt>
                <c:pt idx="8">
                  <c:v>86.96</c:v>
                </c:pt>
                <c:pt idx="9">
                  <c:v>8.39</c:v>
                </c:pt>
                <c:pt idx="10">
                  <c:v>160.22</c:v>
                </c:pt>
                <c:pt idx="11">
                  <c:v>372.44</c:v>
                </c:pt>
                <c:pt idx="12">
                  <c:v>111.62</c:v>
                </c:pt>
                <c:pt idx="13">
                  <c:v>155.06</c:v>
                </c:pt>
                <c:pt idx="14">
                  <c:v>52.13</c:v>
                </c:pt>
                <c:pt idx="15">
                  <c:v>17.63</c:v>
                </c:pt>
                <c:pt idx="16">
                  <c:v>190.62</c:v>
                </c:pt>
                <c:pt idx="17">
                  <c:v>7.09</c:v>
                </c:pt>
                <c:pt idx="18">
                  <c:v>506.01</c:v>
                </c:pt>
                <c:pt idx="19">
                  <c:v>21.28</c:v>
                </c:pt>
                <c:pt idx="20">
                  <c:v>467.7</c:v>
                </c:pt>
                <c:pt idx="21">
                  <c:v>48.79</c:v>
                </c:pt>
                <c:pt idx="22">
                  <c:v>877.84</c:v>
                </c:pt>
                <c:pt idx="23">
                  <c:v>122.73</c:v>
                </c:pt>
                <c:pt idx="24">
                  <c:v>19.29</c:v>
                </c:pt>
                <c:pt idx="25">
                  <c:v>12.67</c:v>
                </c:pt>
                <c:pt idx="26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CE0-4995-93F9-FA82BB1F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63664"/>
        <c:axId val="247260784"/>
      </c:scatterChart>
      <c:valAx>
        <c:axId val="247263664"/>
        <c:scaling>
          <c:orientation val="minMax"/>
          <c:min val="0.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7260784"/>
        <c:crosses val="autoZero"/>
        <c:crossBetween val="midCat"/>
      </c:valAx>
      <c:valAx>
        <c:axId val="24726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7263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4F0-405A-97FC-94E4E39804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t-BR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4F0-405A-97FC-94E4E39804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t-BR"/>
                      <a:t>Barbados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4F0-405A-97FC-94E4E39804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t-BR"/>
                      <a:t>Belize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4F0-405A-97FC-94E4E39804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4F0-405A-97FC-94E4E39804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4F0-405A-97FC-94E4E39804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4F0-405A-97FC-94E4E39804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4F0-405A-97FC-94E4E39804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D4F0-405A-97FC-94E4E39804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pt-BR"/>
                      <a:t>Cuba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4F0-405A-97FC-94E4E398042A}"/>
                </c:ext>
              </c:extLst>
            </c:dLbl>
            <c:dLbl>
              <c:idx val="10"/>
              <c:layout>
                <c:manualLayout>
                  <c:x val="-0.14583333826586775"/>
                  <c:y val="-4.572190826508459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Dominican Republic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576234291752383"/>
                      <c:h val="0.10681548715015836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A-D4F0-405A-97FC-94E4E39804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4F0-405A-97FC-94E4E39804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4F0-405A-97FC-94E4E39804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D4F0-405A-97FC-94E4E39804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D4F0-405A-97FC-94E4E39804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Haiti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4F0-405A-97FC-94E4E39804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4F0-405A-97FC-94E4E39804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pt-BR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4F0-405A-97FC-94E4E39804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4F0-405A-97FC-94E4E39804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4F0-405A-97FC-94E4E39804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4F0-405A-97FC-94E4E39804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4F0-405A-97FC-94E4E39804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pt-BR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4F0-405A-97FC-94E4E39804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Suriname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4F0-405A-97FC-94E4E39804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pt-BR"/>
                      <a:t>Trinidad and Tobago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D4F0-405A-97FC-94E4E39804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D4F0-405A-97FC-94E4E39804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pt-BR"/>
                      <a:t>Venezuela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D4F0-405A-97FC-94E4E39804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8.9974493787702073E-2"/>
                  <c:y val="-0.1516040585273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Obitos'!$C$169:$C$195</c:f>
              <c:numCache>
                <c:formatCode>General</c:formatCode>
                <c:ptCount val="27"/>
                <c:pt idx="5" formatCode="0.0">
                  <c:v>47.1</c:v>
                </c:pt>
                <c:pt idx="6" formatCode="0.0">
                  <c:v>25.3</c:v>
                </c:pt>
                <c:pt idx="12" formatCode="0.0">
                  <c:v>69.099999999999994</c:v>
                </c:pt>
                <c:pt idx="13" formatCode="0.0">
                  <c:v>79</c:v>
                </c:pt>
                <c:pt idx="14" formatCode="0.0">
                  <c:v>58.1</c:v>
                </c:pt>
                <c:pt idx="15" formatCode="0.0">
                  <c:v>91.5</c:v>
                </c:pt>
                <c:pt idx="16" formatCode="0.0">
                  <c:v>82.6</c:v>
                </c:pt>
                <c:pt idx="19">
                  <c:v>81.8</c:v>
                </c:pt>
                <c:pt idx="21" formatCode="0.0">
                  <c:v>68.900000000000006</c:v>
                </c:pt>
              </c:numCache>
            </c:numRef>
          </c:xVal>
          <c:yVal>
            <c:numRef>
              <c:f>'GHS e Obitos'!$D$169:$D$195</c:f>
              <c:numCache>
                <c:formatCode>General</c:formatCode>
                <c:ptCount val="27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32.69</c:v>
                </c:pt>
                <c:pt idx="4">
                  <c:v>436.99</c:v>
                </c:pt>
                <c:pt idx="5">
                  <c:v>576.76</c:v>
                </c:pt>
                <c:pt idx="6">
                  <c:v>592.22</c:v>
                </c:pt>
                <c:pt idx="7">
                  <c:v>394.04</c:v>
                </c:pt>
                <c:pt idx="8">
                  <c:v>86.96</c:v>
                </c:pt>
                <c:pt idx="9">
                  <c:v>8.39</c:v>
                </c:pt>
                <c:pt idx="10">
                  <c:v>160.22</c:v>
                </c:pt>
                <c:pt idx="11">
                  <c:v>372.44</c:v>
                </c:pt>
                <c:pt idx="12">
                  <c:v>111.62</c:v>
                </c:pt>
                <c:pt idx="13">
                  <c:v>155.06</c:v>
                </c:pt>
                <c:pt idx="14">
                  <c:v>52.13</c:v>
                </c:pt>
                <c:pt idx="15">
                  <c:v>17.63</c:v>
                </c:pt>
                <c:pt idx="16">
                  <c:v>190.62</c:v>
                </c:pt>
                <c:pt idx="17">
                  <c:v>7.09</c:v>
                </c:pt>
                <c:pt idx="18">
                  <c:v>506.01</c:v>
                </c:pt>
                <c:pt idx="19">
                  <c:v>21.28</c:v>
                </c:pt>
                <c:pt idx="20">
                  <c:v>467.7</c:v>
                </c:pt>
                <c:pt idx="21">
                  <c:v>48.79</c:v>
                </c:pt>
                <c:pt idx="22">
                  <c:v>877.84</c:v>
                </c:pt>
                <c:pt idx="23">
                  <c:v>122.73</c:v>
                </c:pt>
                <c:pt idx="24">
                  <c:v>19.29</c:v>
                </c:pt>
                <c:pt idx="25">
                  <c:v>12.67</c:v>
                </c:pt>
                <c:pt idx="26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D4F0-405A-97FC-94E4E3980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927544"/>
        <c:axId val="571929464"/>
      </c:scatterChart>
      <c:valAx>
        <c:axId val="571927544"/>
        <c:scaling>
          <c:orientation val="minMax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929464"/>
        <c:crosses val="autoZero"/>
        <c:crossBetween val="midCat"/>
      </c:valAx>
      <c:valAx>
        <c:axId val="571929464"/>
        <c:scaling>
          <c:orientation val="minMax"/>
          <c:max val="7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927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5255-43B0-953F-24735B80ED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t-BR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255-43B0-953F-24735B80ED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t-BR"/>
                      <a:t>Barbados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255-43B0-953F-24735B80ED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t-BR"/>
                      <a:t>Belize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255-43B0-953F-24735B80ED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255-43B0-953F-24735B80ED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pt-BR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255-43B0-953F-24735B80ED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pt-BR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255-43B0-953F-24735B80ED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255-43B0-953F-24735B80ED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255-43B0-953F-24735B80ED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pt-BR"/>
                      <a:t>Cuba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255-43B0-953F-24735B80ED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Dominican Republic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5255-43B0-953F-24735B80ED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255-43B0-953F-24735B80ED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pt-BR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5255-43B0-953F-24735B80ED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pt-BR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255-43B0-953F-24735B80ED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pt-BR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5255-43B0-953F-24735B80ED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pt-BR"/>
                      <a:t>Haiti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255-43B0-953F-24735B80ED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pt-BR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5255-43B0-953F-24735B80ED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5255-43B0-953F-24735B80ED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5255-43B0-953F-24735B80ED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pt-BR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5255-43B0-953F-24735B80ED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5255-43B0-953F-24735B80ED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pt-BR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5255-43B0-953F-24735B80ED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5255-43B0-953F-24735B80ED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Suriname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5255-43B0-953F-24735B80ED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pt-BR"/>
                      <a:t>Trinidad and Tobago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5255-43B0-953F-24735B80ED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5255-43B0-953F-24735B80ED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pt-BR"/>
                      <a:t>Venezuela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5255-43B0-953F-24735B80ED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Obitos'!$H$169:$H$195</c:f>
              <c:numCache>
                <c:formatCode>General</c:formatCode>
                <c:ptCount val="27"/>
                <c:pt idx="0">
                  <c:v>49.4</c:v>
                </c:pt>
                <c:pt idx="4">
                  <c:v>84.9</c:v>
                </c:pt>
                <c:pt idx="7">
                  <c:v>62.1</c:v>
                </c:pt>
                <c:pt idx="8">
                  <c:v>36.6</c:v>
                </c:pt>
                <c:pt idx="10">
                  <c:v>54.3</c:v>
                </c:pt>
                <c:pt idx="11">
                  <c:v>63.5</c:v>
                </c:pt>
                <c:pt idx="17" formatCode="0.0">
                  <c:v>43</c:v>
                </c:pt>
                <c:pt idx="18">
                  <c:v>65.900000000000006</c:v>
                </c:pt>
                <c:pt idx="20">
                  <c:v>52.8</c:v>
                </c:pt>
                <c:pt idx="22">
                  <c:v>68.400000000000006</c:v>
                </c:pt>
                <c:pt idx="23" formatCode="0.0">
                  <c:v>52.1</c:v>
                </c:pt>
                <c:pt idx="25">
                  <c:v>23.9</c:v>
                </c:pt>
              </c:numCache>
            </c:numRef>
          </c:xVal>
          <c:yVal>
            <c:numRef>
              <c:f>'GHS e Obitos'!$I$169:$I$195</c:f>
              <c:numCache>
                <c:formatCode>General</c:formatCode>
                <c:ptCount val="27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32.69</c:v>
                </c:pt>
                <c:pt idx="4">
                  <c:v>436.99</c:v>
                </c:pt>
                <c:pt idx="5">
                  <c:v>576.76</c:v>
                </c:pt>
                <c:pt idx="6">
                  <c:v>592.22</c:v>
                </c:pt>
                <c:pt idx="7">
                  <c:v>394.04</c:v>
                </c:pt>
                <c:pt idx="8">
                  <c:v>86.96</c:v>
                </c:pt>
                <c:pt idx="9">
                  <c:v>8.39</c:v>
                </c:pt>
                <c:pt idx="10">
                  <c:v>160.22</c:v>
                </c:pt>
                <c:pt idx="11">
                  <c:v>372.44</c:v>
                </c:pt>
                <c:pt idx="12">
                  <c:v>111.62</c:v>
                </c:pt>
                <c:pt idx="13">
                  <c:v>155.06</c:v>
                </c:pt>
                <c:pt idx="14">
                  <c:v>52.13</c:v>
                </c:pt>
                <c:pt idx="15">
                  <c:v>17.63</c:v>
                </c:pt>
                <c:pt idx="16">
                  <c:v>190.62</c:v>
                </c:pt>
                <c:pt idx="17">
                  <c:v>7.09</c:v>
                </c:pt>
                <c:pt idx="18">
                  <c:v>506.01</c:v>
                </c:pt>
                <c:pt idx="19">
                  <c:v>21.28</c:v>
                </c:pt>
                <c:pt idx="20">
                  <c:v>467.7</c:v>
                </c:pt>
                <c:pt idx="21">
                  <c:v>48.79</c:v>
                </c:pt>
                <c:pt idx="22">
                  <c:v>877.84</c:v>
                </c:pt>
                <c:pt idx="23">
                  <c:v>122.73</c:v>
                </c:pt>
                <c:pt idx="24">
                  <c:v>19.29</c:v>
                </c:pt>
                <c:pt idx="25">
                  <c:v>12.67</c:v>
                </c:pt>
                <c:pt idx="26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255-43B0-953F-24735B80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256008"/>
        <c:axId val="569256328"/>
      </c:scatterChart>
      <c:valAx>
        <c:axId val="569256008"/>
        <c:scaling>
          <c:orientation val="minMax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256328"/>
        <c:crosses val="autoZero"/>
        <c:crossBetween val="midCat"/>
      </c:valAx>
      <c:valAx>
        <c:axId val="569256328"/>
        <c:scaling>
          <c:orientation val="minMax"/>
          <c:max val="9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256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117-4F91-8AFF-4530E81C2A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t-BR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117-4F91-8AFF-4530E81C2A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t-BR"/>
                      <a:t>Barbados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117-4F91-8AFF-4530E81C2A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t-BR"/>
                      <a:t>Belize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117-4F91-8AFF-4530E81C2A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117-4F91-8AFF-4530E81C2A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117-4F91-8AFF-4530E81C2A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117-4F91-8AFF-4530E81C2A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117-4F91-8AFF-4530E81C2A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117-4F91-8AFF-4530E81C2A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pt-BR"/>
                      <a:t>Cuba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117-4F91-8AFF-4530E81C2A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Dominican Republic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117-4F91-8AFF-4530E81C2A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117-4F91-8AFF-4530E81C2A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117-4F91-8AFF-4530E81C2A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117-4F91-8AFF-4530E81C2A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117-4F91-8AFF-4530E81C2A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Haiti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117-4F91-8AFF-4530E81C2A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117-4F91-8AFF-4530E81C2A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pt-BR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117-4F91-8AFF-4530E81C2A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117-4F91-8AFF-4530E81C2A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117-4F91-8AFF-4530E81C2A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117-4F91-8AFF-4530E81C2A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E117-4F91-8AFF-4530E81C2A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pt-BR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E117-4F91-8AFF-4530E81C2A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Suriname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E117-4F91-8AFF-4530E81C2A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pt-BR"/>
                      <a:t>Trinidad and Tobago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E117-4F91-8AFF-4530E81C2A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E117-4F91-8AFF-4530E81C2A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pt-BR"/>
                      <a:t>Venezuela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E117-4F91-8AFF-4530E81C2A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8.9974493787702073E-2"/>
                  <c:y val="-0.1516040585273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Obitos'!$C$169:$C$195</c:f>
              <c:numCache>
                <c:formatCode>General</c:formatCode>
                <c:ptCount val="27"/>
                <c:pt idx="5" formatCode="0.0">
                  <c:v>47.1</c:v>
                </c:pt>
                <c:pt idx="6" formatCode="0.0">
                  <c:v>25.3</c:v>
                </c:pt>
                <c:pt idx="12" formatCode="0.0">
                  <c:v>69.099999999999994</c:v>
                </c:pt>
                <c:pt idx="13" formatCode="0.0">
                  <c:v>79</c:v>
                </c:pt>
                <c:pt idx="14" formatCode="0.0">
                  <c:v>58.1</c:v>
                </c:pt>
                <c:pt idx="15" formatCode="0.0">
                  <c:v>91.5</c:v>
                </c:pt>
                <c:pt idx="16" formatCode="0.0">
                  <c:v>82.6</c:v>
                </c:pt>
                <c:pt idx="19">
                  <c:v>81.8</c:v>
                </c:pt>
                <c:pt idx="21" formatCode="0.0">
                  <c:v>68.900000000000006</c:v>
                </c:pt>
              </c:numCache>
            </c:numRef>
          </c:xVal>
          <c:yVal>
            <c:numRef>
              <c:f>'GHS e Obitos'!$D$169:$D$195</c:f>
              <c:numCache>
                <c:formatCode>General</c:formatCode>
                <c:ptCount val="27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32.69</c:v>
                </c:pt>
                <c:pt idx="4">
                  <c:v>436.99</c:v>
                </c:pt>
                <c:pt idx="5">
                  <c:v>576.76</c:v>
                </c:pt>
                <c:pt idx="6">
                  <c:v>592.22</c:v>
                </c:pt>
                <c:pt idx="7">
                  <c:v>394.04</c:v>
                </c:pt>
                <c:pt idx="8">
                  <c:v>86.96</c:v>
                </c:pt>
                <c:pt idx="9">
                  <c:v>8.39</c:v>
                </c:pt>
                <c:pt idx="10">
                  <c:v>160.22</c:v>
                </c:pt>
                <c:pt idx="11">
                  <c:v>372.44</c:v>
                </c:pt>
                <c:pt idx="12">
                  <c:v>111.62</c:v>
                </c:pt>
                <c:pt idx="13">
                  <c:v>155.06</c:v>
                </c:pt>
                <c:pt idx="14">
                  <c:v>52.13</c:v>
                </c:pt>
                <c:pt idx="15">
                  <c:v>17.63</c:v>
                </c:pt>
                <c:pt idx="16">
                  <c:v>190.62</c:v>
                </c:pt>
                <c:pt idx="17">
                  <c:v>7.09</c:v>
                </c:pt>
                <c:pt idx="18">
                  <c:v>506.01</c:v>
                </c:pt>
                <c:pt idx="19">
                  <c:v>21.28</c:v>
                </c:pt>
                <c:pt idx="20">
                  <c:v>467.7</c:v>
                </c:pt>
                <c:pt idx="21">
                  <c:v>48.79</c:v>
                </c:pt>
                <c:pt idx="22">
                  <c:v>877.84</c:v>
                </c:pt>
                <c:pt idx="23">
                  <c:v>122.73</c:v>
                </c:pt>
                <c:pt idx="24">
                  <c:v>19.29</c:v>
                </c:pt>
                <c:pt idx="25">
                  <c:v>12.67</c:v>
                </c:pt>
                <c:pt idx="26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17-4F91-8AFF-4530E81C2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927544"/>
        <c:axId val="571929464"/>
      </c:scatterChart>
      <c:valAx>
        <c:axId val="571927544"/>
        <c:scaling>
          <c:orientation val="minMax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929464"/>
        <c:crosses val="autoZero"/>
        <c:crossBetween val="midCat"/>
      </c:valAx>
      <c:valAx>
        <c:axId val="571929464"/>
        <c:scaling>
          <c:orientation val="minMax"/>
          <c:max val="7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927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4C36-4F73-B54B-7A1C640E66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pt-BR"/>
                      <a:t>Bahamas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4C36-4F73-B54B-7A1C640E66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t-BR"/>
                      <a:t>Barbados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C36-4F73-B54B-7A1C640E66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t-BR"/>
                      <a:t>Belize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C36-4F73-B54B-7A1C640E66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C36-4F73-B54B-7A1C640E66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pt-BR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C36-4F73-B54B-7A1C640E66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pt-BR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C36-4F73-B54B-7A1C640E66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C36-4F73-B54B-7A1C640E66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C36-4F73-B54B-7A1C640E66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pt-BR"/>
                      <a:t>Cuba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C36-4F73-B54B-7A1C640E66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Dominican Rep.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C36-4F73-B54B-7A1C640E66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4C36-4F73-B54B-7A1C640E66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pt-BR"/>
                      <a:t>El Salvador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4C36-4F73-B54B-7A1C640E66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pt-BR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C36-4F73-B54B-7A1C640E66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pt-BR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4C36-4F73-B54B-7A1C640E66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pt-BR"/>
                      <a:t>Haiti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4C36-4F73-B54B-7A1C640E66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pt-BR"/>
                      <a:t>Honduras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4C36-4F73-B54B-7A1C640E66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4C36-4F73-B54B-7A1C640E66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4C36-4F73-B54B-7A1C640E66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pt-BR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4C36-4F73-B54B-7A1C640E66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4C36-4F73-B54B-7A1C640E66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pt-BR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4C36-4F73-B54B-7A1C640E66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4C36-4F73-B54B-7A1C640E66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Suriname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4C36-4F73-B54B-7A1C640E66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pt-BR"/>
                      <a:t>Trinidad and Tobago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4C36-4F73-B54B-7A1C640E66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4C36-4F73-B54B-7A1C640E66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pt-BR"/>
                      <a:t>Venezuela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4C36-4F73-B54B-7A1C640E66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Obitos'!$H$169:$H$195</c:f>
              <c:numCache>
                <c:formatCode>General</c:formatCode>
                <c:ptCount val="27"/>
                <c:pt idx="0">
                  <c:v>49.4</c:v>
                </c:pt>
                <c:pt idx="4">
                  <c:v>84.9</c:v>
                </c:pt>
                <c:pt idx="7">
                  <c:v>62.1</c:v>
                </c:pt>
                <c:pt idx="8">
                  <c:v>36.6</c:v>
                </c:pt>
                <c:pt idx="10">
                  <c:v>54.3</c:v>
                </c:pt>
                <c:pt idx="11">
                  <c:v>63.5</c:v>
                </c:pt>
                <c:pt idx="17" formatCode="0.0">
                  <c:v>43</c:v>
                </c:pt>
                <c:pt idx="18">
                  <c:v>65.900000000000006</c:v>
                </c:pt>
                <c:pt idx="20">
                  <c:v>52.8</c:v>
                </c:pt>
                <c:pt idx="22">
                  <c:v>68.400000000000006</c:v>
                </c:pt>
                <c:pt idx="23" formatCode="0.0">
                  <c:v>52.1</c:v>
                </c:pt>
                <c:pt idx="25">
                  <c:v>23.9</c:v>
                </c:pt>
              </c:numCache>
            </c:numRef>
          </c:xVal>
          <c:yVal>
            <c:numRef>
              <c:f>'GHS e Obitos'!$I$169:$I$195</c:f>
              <c:numCache>
                <c:formatCode>General</c:formatCode>
                <c:ptCount val="27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32.69</c:v>
                </c:pt>
                <c:pt idx="4">
                  <c:v>436.99</c:v>
                </c:pt>
                <c:pt idx="5">
                  <c:v>576.76</c:v>
                </c:pt>
                <c:pt idx="6">
                  <c:v>592.22</c:v>
                </c:pt>
                <c:pt idx="7">
                  <c:v>394.04</c:v>
                </c:pt>
                <c:pt idx="8">
                  <c:v>86.96</c:v>
                </c:pt>
                <c:pt idx="9">
                  <c:v>8.39</c:v>
                </c:pt>
                <c:pt idx="10">
                  <c:v>160.22</c:v>
                </c:pt>
                <c:pt idx="11">
                  <c:v>372.44</c:v>
                </c:pt>
                <c:pt idx="12">
                  <c:v>111.62</c:v>
                </c:pt>
                <c:pt idx="13">
                  <c:v>155.06</c:v>
                </c:pt>
                <c:pt idx="14">
                  <c:v>52.13</c:v>
                </c:pt>
                <c:pt idx="15">
                  <c:v>17.63</c:v>
                </c:pt>
                <c:pt idx="16">
                  <c:v>190.62</c:v>
                </c:pt>
                <c:pt idx="17">
                  <c:v>7.09</c:v>
                </c:pt>
                <c:pt idx="18">
                  <c:v>506.01</c:v>
                </c:pt>
                <c:pt idx="19">
                  <c:v>21.28</c:v>
                </c:pt>
                <c:pt idx="20">
                  <c:v>467.7</c:v>
                </c:pt>
                <c:pt idx="21">
                  <c:v>48.79</c:v>
                </c:pt>
                <c:pt idx="22">
                  <c:v>877.84</c:v>
                </c:pt>
                <c:pt idx="23">
                  <c:v>122.73</c:v>
                </c:pt>
                <c:pt idx="24">
                  <c:v>19.29</c:v>
                </c:pt>
                <c:pt idx="25">
                  <c:v>12.67</c:v>
                </c:pt>
                <c:pt idx="26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36-4F73-B54B-7A1C640E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256008"/>
        <c:axId val="569256328"/>
      </c:scatterChart>
      <c:valAx>
        <c:axId val="569256008"/>
        <c:scaling>
          <c:orientation val="minMax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256328"/>
        <c:crosses val="autoZero"/>
        <c:crossBetween val="midCat"/>
      </c:valAx>
      <c:valAx>
        <c:axId val="569256328"/>
        <c:scaling>
          <c:orientation val="minMax"/>
          <c:max val="9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256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Argentina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E5D-43BA-BDF7-B391A23B71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Bolivia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E5D-43BA-BDF7-B391A23B71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Brazil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E5D-43BA-BDF7-B391A23B71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Chile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E5D-43BA-BDF7-B391A23B71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Colombia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E5D-43BA-BDF7-B391A23B71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Costa Rica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E5D-43BA-BDF7-B391A23B71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Dominican Republic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E5D-43BA-BDF7-B391A23B71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Ecuador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E5D-43BA-BDF7-B391A23B71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Guatemala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E5D-43BA-BDF7-B391A23B71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Guyana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E5D-43BA-BDF7-B391A23B71ED}"/>
                </c:ext>
              </c:extLst>
            </c:dLbl>
            <c:dLbl>
              <c:idx val="10"/>
              <c:layout>
                <c:manualLayout>
                  <c:x val="1.0535557870751311E-2"/>
                  <c:y val="2.11267617348762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Jamaica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E5D-43BA-BDF7-B391A23B71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Mexico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E5D-43BA-BDF7-B391A23B71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Nicaragua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E5D-43BA-BDF7-B391A23B71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Panama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E5D-43BA-BDF7-B391A23B71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Paraguay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E5D-43BA-BDF7-B391A23B71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Peru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E5D-43BA-BDF7-B391A23B71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Uruguay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E5D-43BA-BDF7-B391A23B71ED}"/>
                </c:ext>
              </c:extLst>
            </c:dLbl>
            <c:dLbl>
              <c:idx val="17"/>
              <c:layout>
                <c:manualLayout>
                  <c:x val="-5.2677789353756553E-3"/>
                  <c:y val="-4.43661996432405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Venezuela, RB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E5D-43BA-BDF7-B391A23B7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5.0298993117977682E-3"/>
                  <c:y val="-3.9563604278784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Obitos'!$C$199:$C$216</c:f>
              <c:numCache>
                <c:formatCode>General</c:formatCode>
                <c:ptCount val="18"/>
                <c:pt idx="0">
                  <c:v>41.3</c:v>
                </c:pt>
                <c:pt idx="1">
                  <c:v>42.6</c:v>
                </c:pt>
                <c:pt idx="2">
                  <c:v>53.9</c:v>
                </c:pt>
                <c:pt idx="3">
                  <c:v>44.4</c:v>
                </c:pt>
                <c:pt idx="4">
                  <c:v>50.4</c:v>
                </c:pt>
                <c:pt idx="5">
                  <c:v>48</c:v>
                </c:pt>
                <c:pt idx="6">
                  <c:v>43.7</c:v>
                </c:pt>
                <c:pt idx="7">
                  <c:v>45.4</c:v>
                </c:pt>
                <c:pt idx="8">
                  <c:v>48.3</c:v>
                </c:pt>
                <c:pt idx="9">
                  <c:v>48.9</c:v>
                </c:pt>
                <c:pt idx="10">
                  <c:v>45.4</c:v>
                </c:pt>
                <c:pt idx="11">
                  <c:v>46.2</c:v>
                </c:pt>
                <c:pt idx="12">
                  <c:v>49.2</c:v>
                </c:pt>
                <c:pt idx="13">
                  <c:v>42.4</c:v>
                </c:pt>
                <c:pt idx="14">
                  <c:v>38.6</c:v>
                </c:pt>
                <c:pt idx="15">
                  <c:v>46</c:v>
                </c:pt>
                <c:pt idx="16">
                  <c:v>39.700000000000003</c:v>
                </c:pt>
                <c:pt idx="17">
                  <c:v>44.8</c:v>
                </c:pt>
              </c:numCache>
            </c:numRef>
          </c:xVal>
          <c:yVal>
            <c:numRef>
              <c:f>'GHS e Obitos'!$D$199:$D$216</c:f>
              <c:numCache>
                <c:formatCode>General</c:formatCode>
                <c:ptCount val="18"/>
                <c:pt idx="0">
                  <c:v>197.34</c:v>
                </c:pt>
                <c:pt idx="1">
                  <c:v>436.99</c:v>
                </c:pt>
                <c:pt idx="2">
                  <c:v>576.76</c:v>
                </c:pt>
                <c:pt idx="3">
                  <c:v>592.22</c:v>
                </c:pt>
                <c:pt idx="4">
                  <c:v>394.04</c:v>
                </c:pt>
                <c:pt idx="5">
                  <c:v>86.96</c:v>
                </c:pt>
                <c:pt idx="6">
                  <c:v>160.22</c:v>
                </c:pt>
                <c:pt idx="7">
                  <c:v>372.44</c:v>
                </c:pt>
                <c:pt idx="8">
                  <c:v>155.06</c:v>
                </c:pt>
                <c:pt idx="9">
                  <c:v>52.13</c:v>
                </c:pt>
                <c:pt idx="10">
                  <c:v>7.09</c:v>
                </c:pt>
                <c:pt idx="11">
                  <c:v>506.01</c:v>
                </c:pt>
                <c:pt idx="12">
                  <c:v>21.28</c:v>
                </c:pt>
                <c:pt idx="13">
                  <c:v>467.7</c:v>
                </c:pt>
                <c:pt idx="14">
                  <c:v>48.79</c:v>
                </c:pt>
                <c:pt idx="15">
                  <c:v>877.84</c:v>
                </c:pt>
                <c:pt idx="16">
                  <c:v>12.67</c:v>
                </c:pt>
                <c:pt idx="17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5D-43BA-BDF7-B391A23B7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120824"/>
        <c:axId val="644119864"/>
      </c:scatterChart>
      <c:valAx>
        <c:axId val="644120824"/>
        <c:scaling>
          <c:orientation val="minMax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4119864"/>
        <c:crosses val="autoZero"/>
        <c:crossBetween val="midCat"/>
      </c:valAx>
      <c:valAx>
        <c:axId val="64411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412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'GHS e Obitos'!$C$54:$C$79</c:f>
              <c:numCache>
                <c:formatCode>0.00</c:formatCode>
                <c:ptCount val="26"/>
                <c:pt idx="0" formatCode="General">
                  <c:v>2.1</c:v>
                </c:pt>
                <c:pt idx="1">
                  <c:v>2.46</c:v>
                </c:pt>
                <c:pt idx="2">
                  <c:v>1.84</c:v>
                </c:pt>
                <c:pt idx="3" formatCode="General">
                  <c:v>2.76</c:v>
                </c:pt>
                <c:pt idx="4" formatCode="General">
                  <c:v>4.54</c:v>
                </c:pt>
                <c:pt idx="5" formatCode="General">
                  <c:v>2.4300000000000002</c:v>
                </c:pt>
                <c:pt idx="6" formatCode="General">
                  <c:v>1.49</c:v>
                </c:pt>
                <c:pt idx="7" formatCode="General">
                  <c:v>2.41</c:v>
                </c:pt>
                <c:pt idx="8" formatCode="General">
                  <c:v>2.36</c:v>
                </c:pt>
                <c:pt idx="9" formatCode="General">
                  <c:v>3.33</c:v>
                </c:pt>
                <c:pt idx="10" formatCode="General">
                  <c:v>2.66</c:v>
                </c:pt>
                <c:pt idx="11" formatCode="General">
                  <c:v>3.73</c:v>
                </c:pt>
                <c:pt idx="12" formatCode="General">
                  <c:v>4.91</c:v>
                </c:pt>
                <c:pt idx="14" formatCode="General">
                  <c:v>4.57</c:v>
                </c:pt>
                <c:pt idx="15" formatCode="General">
                  <c:v>2.5499999999999998</c:v>
                </c:pt>
                <c:pt idx="16" formatCode="General">
                  <c:v>2.4700000000000002</c:v>
                </c:pt>
                <c:pt idx="17" formatCode="General">
                  <c:v>3.52</c:v>
                </c:pt>
                <c:pt idx="18" formatCode="General">
                  <c:v>2.54</c:v>
                </c:pt>
                <c:pt idx="19" formatCode="General">
                  <c:v>3.26</c:v>
                </c:pt>
                <c:pt idx="20" formatCode="General">
                  <c:v>2.87</c:v>
                </c:pt>
                <c:pt idx="21" formatCode="General">
                  <c:v>3.57</c:v>
                </c:pt>
                <c:pt idx="22" formatCode="General">
                  <c:v>3.1</c:v>
                </c:pt>
                <c:pt idx="23" formatCode="General">
                  <c:v>2.4300000000000002</c:v>
                </c:pt>
                <c:pt idx="24" formatCode="General">
                  <c:v>1.72</c:v>
                </c:pt>
                <c:pt idx="25" formatCode="General">
                  <c:v>3.11</c:v>
                </c:pt>
              </c:numCache>
            </c:numRef>
          </c:xVal>
          <c:yVal>
            <c:numRef>
              <c:f>'GHS e Obitos'!$D$54:$D$79</c:f>
              <c:numCache>
                <c:formatCode>General</c:formatCode>
                <c:ptCount val="26"/>
                <c:pt idx="0">
                  <c:v>197.34</c:v>
                </c:pt>
                <c:pt idx="1">
                  <c:v>127.15</c:v>
                </c:pt>
                <c:pt idx="2">
                  <c:v>24.36</c:v>
                </c:pt>
                <c:pt idx="3">
                  <c:v>32.69</c:v>
                </c:pt>
                <c:pt idx="4">
                  <c:v>436.99</c:v>
                </c:pt>
                <c:pt idx="5">
                  <c:v>576.76</c:v>
                </c:pt>
                <c:pt idx="6">
                  <c:v>592.22</c:v>
                </c:pt>
                <c:pt idx="7">
                  <c:v>394.04</c:v>
                </c:pt>
                <c:pt idx="8">
                  <c:v>86.96</c:v>
                </c:pt>
                <c:pt idx="9">
                  <c:v>160.22</c:v>
                </c:pt>
                <c:pt idx="10">
                  <c:v>372.44</c:v>
                </c:pt>
                <c:pt idx="11">
                  <c:v>155.06</c:v>
                </c:pt>
                <c:pt idx="12">
                  <c:v>52.13</c:v>
                </c:pt>
                <c:pt idx="13">
                  <c:v>17.63</c:v>
                </c:pt>
                <c:pt idx="14">
                  <c:v>190.62</c:v>
                </c:pt>
                <c:pt idx="15">
                  <c:v>7.09</c:v>
                </c:pt>
                <c:pt idx="16">
                  <c:v>506.01</c:v>
                </c:pt>
                <c:pt idx="17">
                  <c:v>21.28</c:v>
                </c:pt>
                <c:pt idx="18">
                  <c:v>467.7</c:v>
                </c:pt>
                <c:pt idx="19">
                  <c:v>877.84</c:v>
                </c:pt>
                <c:pt idx="20">
                  <c:v>48.79</c:v>
                </c:pt>
                <c:pt idx="21">
                  <c:v>111.62</c:v>
                </c:pt>
                <c:pt idx="22">
                  <c:v>122.73</c:v>
                </c:pt>
                <c:pt idx="23">
                  <c:v>19.29</c:v>
                </c:pt>
                <c:pt idx="24">
                  <c:v>12.67</c:v>
                </c:pt>
                <c:pt idx="25">
                  <c:v>13.75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F2-4EF0-88EA-CFBA49645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640784"/>
        <c:axId val="563639184"/>
      </c:scatterChart>
      <c:valAx>
        <c:axId val="56364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639184"/>
        <c:crosses val="autoZero"/>
        <c:crossBetween val="midCat"/>
      </c:valAx>
      <c:valAx>
        <c:axId val="56363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64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IDH x GHS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7.4408355205599297E-2"/>
                  <c:y val="0.189000437445319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'GHS e Obitos'!$H$139:$H$165</c:f>
              <c:numCache>
                <c:formatCode>0.000</c:formatCode>
                <c:ptCount val="27"/>
                <c:pt idx="0">
                  <c:v>0.84499999999999997</c:v>
                </c:pt>
                <c:pt idx="1">
                  <c:v>0.57099999999999995</c:v>
                </c:pt>
                <c:pt idx="2">
                  <c:v>0.81399999999999995</c:v>
                </c:pt>
                <c:pt idx="3">
                  <c:v>0.71599999999999997</c:v>
                </c:pt>
                <c:pt idx="4">
                  <c:v>0.71799999999999997</c:v>
                </c:pt>
                <c:pt idx="5">
                  <c:v>0.76500000000000001</c:v>
                </c:pt>
                <c:pt idx="6">
                  <c:v>0.85099999999999998</c:v>
                </c:pt>
                <c:pt idx="7">
                  <c:v>0.76700000000000002</c:v>
                </c:pt>
                <c:pt idx="8">
                  <c:v>0.81</c:v>
                </c:pt>
                <c:pt idx="9">
                  <c:v>0.78300000000000003</c:v>
                </c:pt>
                <c:pt idx="10">
                  <c:v>0.75600000000000001</c:v>
                </c:pt>
                <c:pt idx="11">
                  <c:v>0.75900000000000001</c:v>
                </c:pt>
                <c:pt idx="12">
                  <c:v>0.67300000000000004</c:v>
                </c:pt>
                <c:pt idx="13">
                  <c:v>0.66300000000000003</c:v>
                </c:pt>
                <c:pt idx="14">
                  <c:v>0.68200000000000005</c:v>
                </c:pt>
                <c:pt idx="15">
                  <c:v>0.51</c:v>
                </c:pt>
                <c:pt idx="16">
                  <c:v>0.63400000000000001</c:v>
                </c:pt>
                <c:pt idx="17">
                  <c:v>0.73399999999999999</c:v>
                </c:pt>
                <c:pt idx="18">
                  <c:v>0.77900000000000003</c:v>
                </c:pt>
                <c:pt idx="19">
                  <c:v>0.57099999999999995</c:v>
                </c:pt>
                <c:pt idx="20">
                  <c:v>0.81499999999999995</c:v>
                </c:pt>
                <c:pt idx="21">
                  <c:v>0.72799999999999998</c:v>
                </c:pt>
                <c:pt idx="22">
                  <c:v>0.77700000000000002</c:v>
                </c:pt>
                <c:pt idx="23">
                  <c:v>0.73799999999999999</c:v>
                </c:pt>
                <c:pt idx="24">
                  <c:v>0.79600000000000004</c:v>
                </c:pt>
                <c:pt idx="25">
                  <c:v>0.81699999999999995</c:v>
                </c:pt>
                <c:pt idx="26">
                  <c:v>0.71099999999999997</c:v>
                </c:pt>
              </c:numCache>
            </c:numRef>
          </c:xVal>
          <c:yVal>
            <c:numRef>
              <c:f>'GHS e Obitos'!$I$139:$I$165</c:f>
              <c:numCache>
                <c:formatCode>0.00</c:formatCode>
                <c:ptCount val="27"/>
                <c:pt idx="0">
                  <c:v>52.75</c:v>
                </c:pt>
                <c:pt idx="1">
                  <c:v>19.399999999999999</c:v>
                </c:pt>
                <c:pt idx="2">
                  <c:v>17.850000000000001</c:v>
                </c:pt>
                <c:pt idx="3">
                  <c:v>17.600000000000001</c:v>
                </c:pt>
                <c:pt idx="4">
                  <c:v>22.05</c:v>
                </c:pt>
                <c:pt idx="5">
                  <c:v>56.05</c:v>
                </c:pt>
                <c:pt idx="6">
                  <c:v>49.75</c:v>
                </c:pt>
                <c:pt idx="7">
                  <c:v>38.9</c:v>
                </c:pt>
                <c:pt idx="8">
                  <c:v>30.700000000000003</c:v>
                </c:pt>
                <c:pt idx="9">
                  <c:v>31.65</c:v>
                </c:pt>
                <c:pt idx="10">
                  <c:v>31.7</c:v>
                </c:pt>
                <c:pt idx="11">
                  <c:v>37.35</c:v>
                </c:pt>
                <c:pt idx="12">
                  <c:v>33.65</c:v>
                </c:pt>
                <c:pt idx="13">
                  <c:v>18.2</c:v>
                </c:pt>
                <c:pt idx="14">
                  <c:v>24.25</c:v>
                </c:pt>
                <c:pt idx="15">
                  <c:v>15.850000000000001</c:v>
                </c:pt>
                <c:pt idx="16">
                  <c:v>19.25</c:v>
                </c:pt>
                <c:pt idx="17">
                  <c:v>17.350000000000001</c:v>
                </c:pt>
                <c:pt idx="18">
                  <c:v>48.849999999999994</c:v>
                </c:pt>
                <c:pt idx="19">
                  <c:v>42.55</c:v>
                </c:pt>
                <c:pt idx="20">
                  <c:v>40.75</c:v>
                </c:pt>
                <c:pt idx="21">
                  <c:v>27.5</c:v>
                </c:pt>
                <c:pt idx="22">
                  <c:v>48.35</c:v>
                </c:pt>
                <c:pt idx="23">
                  <c:v>31.9</c:v>
                </c:pt>
                <c:pt idx="24">
                  <c:v>33.450000000000003</c:v>
                </c:pt>
                <c:pt idx="25">
                  <c:v>32.700000000000003</c:v>
                </c:pt>
                <c:pt idx="26">
                  <c:v>16.3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64-4757-B894-5247AD313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866960"/>
        <c:axId val="532866640"/>
      </c:scatterChart>
      <c:valAx>
        <c:axId val="532866960"/>
        <c:scaling>
          <c:orientation val="minMax"/>
          <c:min val="0.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2866640"/>
        <c:crosses val="autoZero"/>
        <c:crossBetween val="midCat"/>
      </c:valAx>
      <c:valAx>
        <c:axId val="53286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286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68151203243295"/>
          <c:y val="0.11434464493245748"/>
          <c:w val="0.87534333802517394"/>
          <c:h val="0.83333525598014824"/>
        </c:manualLayout>
      </c:layout>
      <c:scatterChart>
        <c:scatterStyle val="lineMarker"/>
        <c:varyColors val="0"/>
        <c:ser>
          <c:idx val="0"/>
          <c:order val="0"/>
          <c:tx>
            <c:v>base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bg1">
                  <a:lumMod val="5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Lit>
              <c:formatCode>General</c:formatCode>
              <c:ptCount val="195"/>
              <c:pt idx="0">
                <c:v>23.6</c:v>
              </c:pt>
              <c:pt idx="1">
                <c:v>52</c:v>
              </c:pt>
              <c:pt idx="2">
                <c:v>19.600000000000001</c:v>
              </c:pt>
              <c:pt idx="3">
                <c:v>30.5</c:v>
              </c:pt>
              <c:pt idx="4">
                <c:v>21.7</c:v>
              </c:pt>
              <c:pt idx="5">
                <c:v>21.7</c:v>
              </c:pt>
              <c:pt idx="6">
                <c:v>50.6</c:v>
              </c:pt>
              <c:pt idx="7">
                <c:v>55.5</c:v>
              </c:pt>
              <c:pt idx="8">
                <c:v>65.900000000000006</c:v>
              </c:pt>
              <c:pt idx="9">
                <c:v>42.3</c:v>
              </c:pt>
              <c:pt idx="10">
                <c:v>25.5</c:v>
              </c:pt>
              <c:pt idx="11">
                <c:v>30.9</c:v>
              </c:pt>
              <c:pt idx="12">
                <c:v>43.2</c:v>
              </c:pt>
              <c:pt idx="13">
                <c:v>23.1</c:v>
              </c:pt>
              <c:pt idx="14">
                <c:v>27.2</c:v>
              </c:pt>
              <c:pt idx="15">
                <c:v>46.6</c:v>
              </c:pt>
              <c:pt idx="16">
                <c:v>47.3</c:v>
              </c:pt>
              <c:pt idx="17">
                <c:v>25.5</c:v>
              </c:pt>
              <c:pt idx="18">
                <c:v>34.1</c:v>
              </c:pt>
              <c:pt idx="19">
                <c:v>42</c:v>
              </c:pt>
              <c:pt idx="20">
                <c:v>29.2</c:v>
              </c:pt>
              <c:pt idx="21">
                <c:v>51.8</c:v>
              </c:pt>
              <c:pt idx="22">
                <c:v>23.9</c:v>
              </c:pt>
              <c:pt idx="23">
                <c:v>67.099999999999994</c:v>
              </c:pt>
              <c:pt idx="24">
                <c:v>33.4</c:v>
              </c:pt>
              <c:pt idx="25">
                <c:v>21.7</c:v>
              </c:pt>
              <c:pt idx="26">
                <c:v>38</c:v>
              </c:pt>
              <c:pt idx="27">
                <c:v>28.4</c:v>
              </c:pt>
              <c:pt idx="28">
                <c:v>32.700000000000003</c:v>
              </c:pt>
              <c:pt idx="29">
                <c:v>36.700000000000003</c:v>
              </c:pt>
              <c:pt idx="30">
                <c:v>29.5</c:v>
              </c:pt>
              <c:pt idx="31">
                <c:v>60.7</c:v>
              </c:pt>
              <c:pt idx="32">
                <c:v>46.6</c:v>
              </c:pt>
              <c:pt idx="33">
                <c:v>34.5</c:v>
              </c:pt>
              <c:pt idx="34">
                <c:v>60.2</c:v>
              </c:pt>
              <c:pt idx="35">
                <c:v>48.6</c:v>
              </c:pt>
              <c:pt idx="36">
                <c:v>43.5</c:v>
              </c:pt>
              <c:pt idx="37">
                <c:v>27.1</c:v>
              </c:pt>
              <c:pt idx="38">
                <c:v>23.6</c:v>
              </c:pt>
              <c:pt idx="39">
                <c:v>31.3</c:v>
              </c:pt>
              <c:pt idx="40">
                <c:v>17.5</c:v>
              </c:pt>
              <c:pt idx="41">
                <c:v>36.6</c:v>
              </c:pt>
              <c:pt idx="42">
                <c:v>29.7</c:v>
              </c:pt>
              <c:pt idx="43">
                <c:v>32.4</c:v>
              </c:pt>
              <c:pt idx="44">
                <c:v>25.9</c:v>
              </c:pt>
              <c:pt idx="45">
                <c:v>33.9</c:v>
              </c:pt>
              <c:pt idx="46">
                <c:v>46.6</c:v>
              </c:pt>
              <c:pt idx="47">
                <c:v>58.4</c:v>
              </c:pt>
              <c:pt idx="48">
                <c:v>23.2</c:v>
              </c:pt>
              <c:pt idx="49">
                <c:v>20.9</c:v>
              </c:pt>
              <c:pt idx="50">
                <c:v>47.3</c:v>
              </c:pt>
              <c:pt idx="51">
                <c:v>39.5</c:v>
              </c:pt>
              <c:pt idx="52">
                <c:v>45</c:v>
              </c:pt>
              <c:pt idx="53">
                <c:v>42.1</c:v>
              </c:pt>
              <c:pt idx="54">
                <c:v>17.600000000000001</c:v>
              </c:pt>
              <c:pt idx="55">
                <c:v>16</c:v>
              </c:pt>
              <c:pt idx="56">
                <c:v>47</c:v>
              </c:pt>
              <c:pt idx="57">
                <c:v>29.3</c:v>
              </c:pt>
              <c:pt idx="58">
                <c:v>44.7</c:v>
              </c:pt>
              <c:pt idx="59">
                <c:v>28.3</c:v>
              </c:pt>
              <c:pt idx="60">
                <c:v>69.2</c:v>
              </c:pt>
              <c:pt idx="61">
                <c:v>62.9</c:v>
              </c:pt>
              <c:pt idx="62">
                <c:v>20.6</c:v>
              </c:pt>
              <c:pt idx="63">
                <c:v>34.200000000000003</c:v>
              </c:pt>
              <c:pt idx="64">
                <c:v>37.1</c:v>
              </c:pt>
              <c:pt idx="65">
                <c:v>54.8</c:v>
              </c:pt>
              <c:pt idx="66">
                <c:v>31.5</c:v>
              </c:pt>
              <c:pt idx="67">
                <c:v>44</c:v>
              </c:pt>
              <c:pt idx="68">
                <c:v>28.4</c:v>
              </c:pt>
              <c:pt idx="69">
                <c:v>25</c:v>
              </c:pt>
              <c:pt idx="70">
                <c:v>23</c:v>
              </c:pt>
              <c:pt idx="71">
                <c:v>17.8</c:v>
              </c:pt>
              <c:pt idx="72">
                <c:v>36.200000000000003</c:v>
              </c:pt>
              <c:pt idx="73">
                <c:v>21.1</c:v>
              </c:pt>
              <c:pt idx="74">
                <c:v>26.5</c:v>
              </c:pt>
              <c:pt idx="75">
                <c:v>52.2</c:v>
              </c:pt>
              <c:pt idx="76">
                <c:v>44</c:v>
              </c:pt>
              <c:pt idx="77">
                <c:v>52.4</c:v>
              </c:pt>
              <c:pt idx="78">
                <c:v>54.3</c:v>
              </c:pt>
              <c:pt idx="79">
                <c:v>33.700000000000003</c:v>
              </c:pt>
              <c:pt idx="80">
                <c:v>19.5</c:v>
              </c:pt>
              <c:pt idx="81">
                <c:v>45.1</c:v>
              </c:pt>
              <c:pt idx="82">
                <c:v>39.9</c:v>
              </c:pt>
              <c:pt idx="83">
                <c:v>47.5</c:v>
              </c:pt>
              <c:pt idx="84">
                <c:v>24.7</c:v>
              </c:pt>
              <c:pt idx="85">
                <c:v>53.6</c:v>
              </c:pt>
              <c:pt idx="86">
                <c:v>47.8</c:v>
              </c:pt>
              <c:pt idx="87">
                <c:v>26.6</c:v>
              </c:pt>
              <c:pt idx="88">
                <c:v>37.1</c:v>
              </c:pt>
              <c:pt idx="89">
                <c:v>23.4</c:v>
              </c:pt>
              <c:pt idx="90">
                <c:v>50.2</c:v>
              </c:pt>
              <c:pt idx="91">
                <c:v>49.9</c:v>
              </c:pt>
              <c:pt idx="92">
                <c:v>52</c:v>
              </c:pt>
              <c:pt idx="93">
                <c:v>54.7</c:v>
              </c:pt>
              <c:pt idx="94">
                <c:v>47.9</c:v>
              </c:pt>
              <c:pt idx="95">
                <c:v>33.200000000000003</c:v>
              </c:pt>
              <c:pt idx="96">
                <c:v>40.5</c:v>
              </c:pt>
              <c:pt idx="97">
                <c:v>18.899999999999999</c:v>
              </c:pt>
              <c:pt idx="98">
                <c:v>34.6</c:v>
              </c:pt>
              <c:pt idx="99">
                <c:v>33.9</c:v>
              </c:pt>
              <c:pt idx="100">
                <c:v>27.3</c:v>
              </c:pt>
              <c:pt idx="101">
                <c:v>57.8</c:v>
              </c:pt>
              <c:pt idx="102">
                <c:v>20.7</c:v>
              </c:pt>
              <c:pt idx="103">
                <c:v>61.3</c:v>
              </c:pt>
              <c:pt idx="104">
                <c:v>40.200000000000003</c:v>
              </c:pt>
              <c:pt idx="105">
                <c:v>29.5</c:v>
              </c:pt>
              <c:pt idx="106">
                <c:v>22.4</c:v>
              </c:pt>
              <c:pt idx="107">
                <c:v>18.100000000000001</c:v>
              </c:pt>
              <c:pt idx="108">
                <c:v>24.2</c:v>
              </c:pt>
              <c:pt idx="109">
                <c:v>34.9</c:v>
              </c:pt>
              <c:pt idx="110">
                <c:v>50.8</c:v>
              </c:pt>
              <c:pt idx="111">
                <c:v>56.9</c:v>
              </c:pt>
              <c:pt idx="112">
                <c:v>31.1</c:v>
              </c:pt>
              <c:pt idx="113">
                <c:v>26</c:v>
              </c:pt>
              <c:pt idx="114">
                <c:v>37.799999999999997</c:v>
              </c:pt>
              <c:pt idx="115">
                <c:v>32.1</c:v>
              </c:pt>
              <c:pt idx="116">
                <c:v>51.5</c:v>
              </c:pt>
              <c:pt idx="117">
                <c:v>18.2</c:v>
              </c:pt>
              <c:pt idx="118">
                <c:v>50.4</c:v>
              </c:pt>
              <c:pt idx="119">
                <c:v>30.9</c:v>
              </c:pt>
              <c:pt idx="120">
                <c:v>25.9</c:v>
              </c:pt>
              <c:pt idx="121">
                <c:v>41.9</c:v>
              </c:pt>
              <c:pt idx="122">
                <c:v>79.099999999999994</c:v>
              </c:pt>
              <c:pt idx="123">
                <c:v>58.1</c:v>
              </c:pt>
              <c:pt idx="124">
                <c:v>39.200000000000003</c:v>
              </c:pt>
              <c:pt idx="125">
                <c:v>20.100000000000001</c:v>
              </c:pt>
              <c:pt idx="126">
                <c:v>43.8</c:v>
              </c:pt>
              <c:pt idx="127">
                <c:v>21.8</c:v>
              </c:pt>
              <c:pt idx="128">
                <c:v>11.3</c:v>
              </c:pt>
              <c:pt idx="129">
                <c:v>33.1</c:v>
              </c:pt>
              <c:pt idx="130">
                <c:v>58.2</c:v>
              </c:pt>
              <c:pt idx="131">
                <c:v>41.6</c:v>
              </c:pt>
              <c:pt idx="132">
                <c:v>38.700000000000003</c:v>
              </c:pt>
              <c:pt idx="133">
                <c:v>24.5</c:v>
              </c:pt>
              <c:pt idx="134">
                <c:v>46.4</c:v>
              </c:pt>
              <c:pt idx="135">
                <c:v>34.799999999999997</c:v>
              </c:pt>
              <c:pt idx="136">
                <c:v>26.8</c:v>
              </c:pt>
              <c:pt idx="137">
                <c:v>51.7</c:v>
              </c:pt>
              <c:pt idx="138">
                <c:v>43.8</c:v>
              </c:pt>
              <c:pt idx="139">
                <c:v>47.5</c:v>
              </c:pt>
              <c:pt idx="140">
                <c:v>67.7</c:v>
              </c:pt>
              <c:pt idx="141">
                <c:v>48</c:v>
              </c:pt>
              <c:pt idx="142">
                <c:v>35.299999999999997</c:v>
              </c:pt>
              <c:pt idx="143">
                <c:v>50.1</c:v>
              </c:pt>
              <c:pt idx="144">
                <c:v>31.9</c:v>
              </c:pt>
              <c:pt idx="145">
                <c:v>28.9</c:v>
              </c:pt>
              <c:pt idx="146">
                <c:v>20.8</c:v>
              </c:pt>
              <c:pt idx="147">
                <c:v>18.7</c:v>
              </c:pt>
              <c:pt idx="148">
                <c:v>32.6</c:v>
              </c:pt>
              <c:pt idx="149">
                <c:v>45.4</c:v>
              </c:pt>
              <c:pt idx="150">
                <c:v>55.1</c:v>
              </c:pt>
              <c:pt idx="151">
                <c:v>20.7</c:v>
              </c:pt>
              <c:pt idx="152">
                <c:v>44.8</c:v>
              </c:pt>
              <c:pt idx="153">
                <c:v>64.599999999999994</c:v>
              </c:pt>
              <c:pt idx="154">
                <c:v>34.1</c:v>
              </c:pt>
              <c:pt idx="155">
                <c:v>63.3</c:v>
              </c:pt>
              <c:pt idx="156">
                <c:v>18.7</c:v>
              </c:pt>
              <c:pt idx="157">
                <c:v>17.399999999999999</c:v>
              </c:pt>
              <c:pt idx="158">
                <c:v>57.7</c:v>
              </c:pt>
              <c:pt idx="159">
                <c:v>71.5</c:v>
              </c:pt>
              <c:pt idx="160">
                <c:v>24.3</c:v>
              </c:pt>
              <c:pt idx="161">
                <c:v>61.9</c:v>
              </c:pt>
              <c:pt idx="162">
                <c:v>26.4</c:v>
              </c:pt>
              <c:pt idx="163">
                <c:v>26.2</c:v>
              </c:pt>
              <c:pt idx="164">
                <c:v>42.4</c:v>
              </c:pt>
              <c:pt idx="165">
                <c:v>29.2</c:v>
              </c:pt>
              <c:pt idx="166">
                <c:v>37.299999999999997</c:v>
              </c:pt>
              <c:pt idx="167">
                <c:v>47.3</c:v>
              </c:pt>
              <c:pt idx="168">
                <c:v>62.8</c:v>
              </c:pt>
              <c:pt idx="169">
                <c:v>79.3</c:v>
              </c:pt>
              <c:pt idx="170">
                <c:v>23</c:v>
              </c:pt>
              <c:pt idx="171">
                <c:v>42.9</c:v>
              </c:pt>
              <c:pt idx="172">
                <c:v>36.799999999999997</c:v>
              </c:pt>
              <c:pt idx="173">
                <c:v>78.599999999999994</c:v>
              </c:pt>
              <c:pt idx="174">
                <c:v>30.2</c:v>
              </c:pt>
              <c:pt idx="175">
                <c:v>30.4</c:v>
              </c:pt>
              <c:pt idx="176">
                <c:v>25.1</c:v>
              </c:pt>
              <c:pt idx="177">
                <c:v>43.2</c:v>
              </c:pt>
              <c:pt idx="178">
                <c:v>39.1</c:v>
              </c:pt>
              <c:pt idx="179">
                <c:v>49</c:v>
              </c:pt>
              <c:pt idx="180">
                <c:v>26</c:v>
              </c:pt>
              <c:pt idx="181">
                <c:v>19.600000000000001</c:v>
              </c:pt>
              <c:pt idx="182">
                <c:v>56.5</c:v>
              </c:pt>
              <c:pt idx="183">
                <c:v>34.799999999999997</c:v>
              </c:pt>
              <c:pt idx="184">
                <c:v>49.7</c:v>
              </c:pt>
              <c:pt idx="185">
                <c:v>91.9</c:v>
              </c:pt>
              <c:pt idx="186">
                <c:v>79.7</c:v>
              </c:pt>
              <c:pt idx="187">
                <c:v>41.3</c:v>
              </c:pt>
              <c:pt idx="188">
                <c:v>27.8</c:v>
              </c:pt>
              <c:pt idx="189">
                <c:v>24.8</c:v>
              </c:pt>
              <c:pt idx="190">
                <c:v>19.7</c:v>
              </c:pt>
              <c:pt idx="191">
                <c:v>43</c:v>
              </c:pt>
              <c:pt idx="192">
                <c:v>19</c:v>
              </c:pt>
              <c:pt idx="193">
                <c:v>28.6</c:v>
              </c:pt>
              <c:pt idx="194">
                <c:v>30.1</c:v>
              </c:pt>
            </c:numLit>
          </c:xVal>
          <c:yVal>
            <c:numRef>
              <c:f>[1]iScatter!$X$19:$X$213</c:f>
              <c:numCache>
                <c:formatCode>General</c:formatCode>
                <c:ptCount val="195"/>
                <c:pt idx="0">
                  <c:v>23.5</c:v>
                </c:pt>
                <c:pt idx="1">
                  <c:v>43.8</c:v>
                </c:pt>
                <c:pt idx="2">
                  <c:v>25.7</c:v>
                </c:pt>
                <c:pt idx="3">
                  <c:v>27.9</c:v>
                </c:pt>
                <c:pt idx="4">
                  <c:v>24</c:v>
                </c:pt>
                <c:pt idx="5">
                  <c:v>17.8</c:v>
                </c:pt>
                <c:pt idx="6">
                  <c:v>41.4</c:v>
                </c:pt>
                <c:pt idx="7">
                  <c:v>56.7</c:v>
                </c:pt>
                <c:pt idx="8">
                  <c:v>68.900000000000006</c:v>
                </c:pt>
                <c:pt idx="9">
                  <c:v>57.4</c:v>
                </c:pt>
                <c:pt idx="10">
                  <c:v>30.8</c:v>
                </c:pt>
                <c:pt idx="11">
                  <c:v>24.7</c:v>
                </c:pt>
                <c:pt idx="12">
                  <c:v>36</c:v>
                </c:pt>
                <c:pt idx="13">
                  <c:v>27.3</c:v>
                </c:pt>
                <c:pt idx="14">
                  <c:v>33.299999999999997</c:v>
                </c:pt>
                <c:pt idx="15">
                  <c:v>19.399999999999999</c:v>
                </c:pt>
                <c:pt idx="16">
                  <c:v>63.5</c:v>
                </c:pt>
                <c:pt idx="17">
                  <c:v>30</c:v>
                </c:pt>
                <c:pt idx="18">
                  <c:v>16.5</c:v>
                </c:pt>
                <c:pt idx="19">
                  <c:v>35.5</c:v>
                </c:pt>
                <c:pt idx="20">
                  <c:v>44</c:v>
                </c:pt>
                <c:pt idx="21">
                  <c:v>36.700000000000003</c:v>
                </c:pt>
                <c:pt idx="22">
                  <c:v>22</c:v>
                </c:pt>
                <c:pt idx="23">
                  <c:v>59.2</c:v>
                </c:pt>
                <c:pt idx="24">
                  <c:v>24.8</c:v>
                </c:pt>
                <c:pt idx="25">
                  <c:v>37.6</c:v>
                </c:pt>
                <c:pt idx="26">
                  <c:v>18</c:v>
                </c:pt>
                <c:pt idx="27">
                  <c:v>25.1</c:v>
                </c:pt>
                <c:pt idx="28">
                  <c:v>27.9</c:v>
                </c:pt>
                <c:pt idx="29">
                  <c:v>28.6</c:v>
                </c:pt>
                <c:pt idx="30">
                  <c:v>28.2</c:v>
                </c:pt>
                <c:pt idx="31">
                  <c:v>70</c:v>
                </c:pt>
                <c:pt idx="32">
                  <c:v>18</c:v>
                </c:pt>
                <c:pt idx="33">
                  <c:v>23.2</c:v>
                </c:pt>
                <c:pt idx="34">
                  <c:v>56.2</c:v>
                </c:pt>
                <c:pt idx="35">
                  <c:v>45</c:v>
                </c:pt>
                <c:pt idx="36">
                  <c:v>37.200000000000003</c:v>
                </c:pt>
                <c:pt idx="37">
                  <c:v>19.2</c:v>
                </c:pt>
                <c:pt idx="38">
                  <c:v>17.600000000000001</c:v>
                </c:pt>
                <c:pt idx="39">
                  <c:v>24</c:v>
                </c:pt>
                <c:pt idx="40">
                  <c:v>10.9</c:v>
                </c:pt>
                <c:pt idx="41">
                  <c:v>44.2</c:v>
                </c:pt>
                <c:pt idx="42">
                  <c:v>27.3</c:v>
                </c:pt>
                <c:pt idx="43">
                  <c:v>55.2</c:v>
                </c:pt>
                <c:pt idx="44">
                  <c:v>41.4</c:v>
                </c:pt>
                <c:pt idx="45">
                  <c:v>46.4</c:v>
                </c:pt>
                <c:pt idx="46">
                  <c:v>51.1</c:v>
                </c:pt>
                <c:pt idx="47">
                  <c:v>72.900000000000006</c:v>
                </c:pt>
                <c:pt idx="48">
                  <c:v>16.3</c:v>
                </c:pt>
                <c:pt idx="49">
                  <c:v>11.2</c:v>
                </c:pt>
                <c:pt idx="50">
                  <c:v>30.5</c:v>
                </c:pt>
                <c:pt idx="51">
                  <c:v>53.9</c:v>
                </c:pt>
                <c:pt idx="52">
                  <c:v>36.5</c:v>
                </c:pt>
                <c:pt idx="53">
                  <c:v>22.1</c:v>
                </c:pt>
                <c:pt idx="54">
                  <c:v>1.9</c:v>
                </c:pt>
                <c:pt idx="55">
                  <c:v>23.4</c:v>
                </c:pt>
                <c:pt idx="56">
                  <c:v>47.6</c:v>
                </c:pt>
                <c:pt idx="57">
                  <c:v>35.700000000000003</c:v>
                </c:pt>
                <c:pt idx="58">
                  <c:v>36.799999999999997</c:v>
                </c:pt>
                <c:pt idx="59">
                  <c:v>24.6</c:v>
                </c:pt>
                <c:pt idx="60">
                  <c:v>68.5</c:v>
                </c:pt>
                <c:pt idx="61">
                  <c:v>71.2</c:v>
                </c:pt>
                <c:pt idx="62">
                  <c:v>10.8</c:v>
                </c:pt>
                <c:pt idx="63">
                  <c:v>22</c:v>
                </c:pt>
                <c:pt idx="64">
                  <c:v>53.2</c:v>
                </c:pt>
                <c:pt idx="65">
                  <c:v>66.5</c:v>
                </c:pt>
                <c:pt idx="66">
                  <c:v>32.200000000000003</c:v>
                </c:pt>
                <c:pt idx="67">
                  <c:v>54.2</c:v>
                </c:pt>
                <c:pt idx="68">
                  <c:v>8.6</c:v>
                </c:pt>
                <c:pt idx="69">
                  <c:v>21.2</c:v>
                </c:pt>
                <c:pt idx="70">
                  <c:v>27</c:v>
                </c:pt>
                <c:pt idx="71">
                  <c:v>14</c:v>
                </c:pt>
                <c:pt idx="72">
                  <c:v>27.9</c:v>
                </c:pt>
                <c:pt idx="73">
                  <c:v>31.5</c:v>
                </c:pt>
                <c:pt idx="74">
                  <c:v>21.6</c:v>
                </c:pt>
                <c:pt idx="75">
                  <c:v>56.4</c:v>
                </c:pt>
                <c:pt idx="76">
                  <c:v>35.299999999999997</c:v>
                </c:pt>
                <c:pt idx="77">
                  <c:v>34.9</c:v>
                </c:pt>
                <c:pt idx="78">
                  <c:v>50.2</c:v>
                </c:pt>
                <c:pt idx="79">
                  <c:v>44.7</c:v>
                </c:pt>
                <c:pt idx="80">
                  <c:v>22.1</c:v>
                </c:pt>
                <c:pt idx="81">
                  <c:v>63.9</c:v>
                </c:pt>
                <c:pt idx="82">
                  <c:v>44</c:v>
                </c:pt>
                <c:pt idx="83">
                  <c:v>47.5</c:v>
                </c:pt>
                <c:pt idx="84">
                  <c:v>20.100000000000001</c:v>
                </c:pt>
                <c:pt idx="85">
                  <c:v>49.3</c:v>
                </c:pt>
                <c:pt idx="86">
                  <c:v>31.8</c:v>
                </c:pt>
                <c:pt idx="87">
                  <c:v>58.8</c:v>
                </c:pt>
                <c:pt idx="88">
                  <c:v>45.9</c:v>
                </c:pt>
                <c:pt idx="89">
                  <c:v>10.7</c:v>
                </c:pt>
                <c:pt idx="90">
                  <c:v>40.9</c:v>
                </c:pt>
                <c:pt idx="91">
                  <c:v>29.7</c:v>
                </c:pt>
                <c:pt idx="92">
                  <c:v>18.899999999999999</c:v>
                </c:pt>
                <c:pt idx="93">
                  <c:v>56</c:v>
                </c:pt>
                <c:pt idx="94">
                  <c:v>27.3</c:v>
                </c:pt>
                <c:pt idx="95">
                  <c:v>24.4</c:v>
                </c:pt>
                <c:pt idx="96">
                  <c:v>14.3</c:v>
                </c:pt>
                <c:pt idx="97">
                  <c:v>23.2</c:v>
                </c:pt>
                <c:pt idx="98">
                  <c:v>43.1</c:v>
                </c:pt>
                <c:pt idx="99">
                  <c:v>43.5</c:v>
                </c:pt>
                <c:pt idx="100">
                  <c:v>31</c:v>
                </c:pt>
                <c:pt idx="101">
                  <c:v>30.1</c:v>
                </c:pt>
                <c:pt idx="102">
                  <c:v>25.5</c:v>
                </c:pt>
                <c:pt idx="103">
                  <c:v>51.4</c:v>
                </c:pt>
                <c:pt idx="104">
                  <c:v>21.8</c:v>
                </c:pt>
                <c:pt idx="105">
                  <c:v>23.4</c:v>
                </c:pt>
                <c:pt idx="106">
                  <c:v>35</c:v>
                </c:pt>
                <c:pt idx="107">
                  <c:v>7</c:v>
                </c:pt>
                <c:pt idx="108">
                  <c:v>9.9</c:v>
                </c:pt>
                <c:pt idx="109">
                  <c:v>27.3</c:v>
                </c:pt>
                <c:pt idx="110">
                  <c:v>45.5</c:v>
                </c:pt>
                <c:pt idx="111">
                  <c:v>21</c:v>
                </c:pt>
                <c:pt idx="112">
                  <c:v>46.5</c:v>
                </c:pt>
                <c:pt idx="113">
                  <c:v>11.1</c:v>
                </c:pt>
                <c:pt idx="114">
                  <c:v>37.6</c:v>
                </c:pt>
                <c:pt idx="115">
                  <c:v>36.5</c:v>
                </c:pt>
                <c:pt idx="116">
                  <c:v>34.6</c:v>
                </c:pt>
                <c:pt idx="117">
                  <c:v>26.5</c:v>
                </c:pt>
                <c:pt idx="118">
                  <c:v>30.3</c:v>
                </c:pt>
                <c:pt idx="119">
                  <c:v>32</c:v>
                </c:pt>
                <c:pt idx="120">
                  <c:v>9.1</c:v>
                </c:pt>
                <c:pt idx="121">
                  <c:v>43.7</c:v>
                </c:pt>
                <c:pt idx="122">
                  <c:v>73.7</c:v>
                </c:pt>
                <c:pt idx="123">
                  <c:v>55</c:v>
                </c:pt>
                <c:pt idx="124">
                  <c:v>41.7</c:v>
                </c:pt>
                <c:pt idx="125">
                  <c:v>32.5</c:v>
                </c:pt>
                <c:pt idx="126">
                  <c:v>26.3</c:v>
                </c:pt>
                <c:pt idx="127">
                  <c:v>11</c:v>
                </c:pt>
                <c:pt idx="128">
                  <c:v>19</c:v>
                </c:pt>
                <c:pt idx="129">
                  <c:v>37</c:v>
                </c:pt>
                <c:pt idx="130">
                  <c:v>68.2</c:v>
                </c:pt>
                <c:pt idx="131">
                  <c:v>35.299999999999997</c:v>
                </c:pt>
                <c:pt idx="132">
                  <c:v>24.1</c:v>
                </c:pt>
                <c:pt idx="133">
                  <c:v>8.1999999999999993</c:v>
                </c:pt>
                <c:pt idx="134">
                  <c:v>40.5</c:v>
                </c:pt>
                <c:pt idx="135">
                  <c:v>10</c:v>
                </c:pt>
                <c:pt idx="136">
                  <c:v>39.5</c:v>
                </c:pt>
                <c:pt idx="137">
                  <c:v>43.2</c:v>
                </c:pt>
                <c:pt idx="138">
                  <c:v>38.5</c:v>
                </c:pt>
                <c:pt idx="139">
                  <c:v>50.9</c:v>
                </c:pt>
                <c:pt idx="140">
                  <c:v>52.8</c:v>
                </c:pt>
                <c:pt idx="141">
                  <c:v>33.1</c:v>
                </c:pt>
                <c:pt idx="142">
                  <c:v>48.9</c:v>
                </c:pt>
                <c:pt idx="143">
                  <c:v>42.9</c:v>
                </c:pt>
                <c:pt idx="144">
                  <c:v>33.799999999999997</c:v>
                </c:pt>
                <c:pt idx="145">
                  <c:v>20.2</c:v>
                </c:pt>
                <c:pt idx="146">
                  <c:v>22.3</c:v>
                </c:pt>
                <c:pt idx="147">
                  <c:v>8.1999999999999993</c:v>
                </c:pt>
                <c:pt idx="148">
                  <c:v>34.299999999999997</c:v>
                </c:pt>
                <c:pt idx="149">
                  <c:v>25.4</c:v>
                </c:pt>
                <c:pt idx="150">
                  <c:v>48.8</c:v>
                </c:pt>
                <c:pt idx="151">
                  <c:v>9.8000000000000007</c:v>
                </c:pt>
                <c:pt idx="152">
                  <c:v>25</c:v>
                </c:pt>
                <c:pt idx="153">
                  <c:v>56.2</c:v>
                </c:pt>
                <c:pt idx="154">
                  <c:v>53.5</c:v>
                </c:pt>
                <c:pt idx="155">
                  <c:v>67</c:v>
                </c:pt>
                <c:pt idx="156">
                  <c:v>8.4</c:v>
                </c:pt>
                <c:pt idx="157">
                  <c:v>15.8</c:v>
                </c:pt>
                <c:pt idx="158">
                  <c:v>44.8</c:v>
                </c:pt>
                <c:pt idx="159">
                  <c:v>57.3</c:v>
                </c:pt>
                <c:pt idx="160">
                  <c:v>22.6</c:v>
                </c:pt>
                <c:pt idx="161">
                  <c:v>52.9</c:v>
                </c:pt>
                <c:pt idx="162">
                  <c:v>24.2</c:v>
                </c:pt>
                <c:pt idx="163">
                  <c:v>8.6999999999999993</c:v>
                </c:pt>
                <c:pt idx="164">
                  <c:v>22.8</c:v>
                </c:pt>
                <c:pt idx="165">
                  <c:v>20</c:v>
                </c:pt>
                <c:pt idx="166">
                  <c:v>31.8</c:v>
                </c:pt>
                <c:pt idx="167">
                  <c:v>23.3</c:v>
                </c:pt>
                <c:pt idx="168">
                  <c:v>81.099999999999994</c:v>
                </c:pt>
                <c:pt idx="169">
                  <c:v>52.7</c:v>
                </c:pt>
                <c:pt idx="170">
                  <c:v>18.399999999999999</c:v>
                </c:pt>
                <c:pt idx="171">
                  <c:v>26.7</c:v>
                </c:pt>
                <c:pt idx="172">
                  <c:v>33.5</c:v>
                </c:pt>
                <c:pt idx="173">
                  <c:v>75.7</c:v>
                </c:pt>
                <c:pt idx="174">
                  <c:v>18.2</c:v>
                </c:pt>
                <c:pt idx="175">
                  <c:v>23.7</c:v>
                </c:pt>
                <c:pt idx="176">
                  <c:v>19.8</c:v>
                </c:pt>
                <c:pt idx="177">
                  <c:v>28.1</c:v>
                </c:pt>
                <c:pt idx="178">
                  <c:v>31.7</c:v>
                </c:pt>
                <c:pt idx="179">
                  <c:v>56.9</c:v>
                </c:pt>
                <c:pt idx="180">
                  <c:v>31</c:v>
                </c:pt>
                <c:pt idx="181">
                  <c:v>13.1</c:v>
                </c:pt>
                <c:pt idx="182">
                  <c:v>42.7</c:v>
                </c:pt>
                <c:pt idx="183">
                  <c:v>38.1</c:v>
                </c:pt>
                <c:pt idx="184">
                  <c:v>49.3</c:v>
                </c:pt>
                <c:pt idx="185">
                  <c:v>68.3</c:v>
                </c:pt>
                <c:pt idx="186">
                  <c:v>83.1</c:v>
                </c:pt>
                <c:pt idx="187">
                  <c:v>44</c:v>
                </c:pt>
                <c:pt idx="188">
                  <c:v>42.6</c:v>
                </c:pt>
                <c:pt idx="189">
                  <c:v>24.5</c:v>
                </c:pt>
                <c:pt idx="190">
                  <c:v>23.5</c:v>
                </c:pt>
                <c:pt idx="191">
                  <c:v>49.5</c:v>
                </c:pt>
                <c:pt idx="192">
                  <c:v>15.1</c:v>
                </c:pt>
                <c:pt idx="193">
                  <c:v>24.5</c:v>
                </c:pt>
                <c:pt idx="194">
                  <c:v>31.4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42-4C38-A21F-8CD90938FFFC}"/>
            </c:ext>
          </c:extLst>
        </c:ser>
        <c:ser>
          <c:idx val="1"/>
          <c:order val="1"/>
          <c:tx>
            <c:v>Highlighted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F42-4C38-A21F-8CD90938FF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F42-4C38-A21F-8CD90938FF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F42-4C38-A21F-8CD90938FF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F42-4C38-A21F-8CD90938FF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F42-4C38-A21F-8CD90938FF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F42-4C38-A21F-8CD90938FF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F42-4C38-A21F-8CD90938FF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F42-4C38-A21F-8CD90938FFF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95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21.7</c:v>
              </c:pt>
              <c:pt idx="6">
                <c:v>50.6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30.9</c:v>
              </c:pt>
              <c:pt idx="12">
                <c:v>#N/A</c:v>
              </c:pt>
              <c:pt idx="13">
                <c:v>#N/A</c:v>
              </c:pt>
              <c:pt idx="14">
                <c:v>27.2</c:v>
              </c:pt>
              <c:pt idx="15">
                <c:v>#N/A</c:v>
              </c:pt>
              <c:pt idx="16">
                <c:v>#N/A</c:v>
              </c:pt>
              <c:pt idx="17">
                <c:v>25.5</c:v>
              </c:pt>
              <c:pt idx="18">
                <c:v>#N/A</c:v>
              </c:pt>
              <c:pt idx="19">
                <c:v>#N/A</c:v>
              </c:pt>
              <c:pt idx="20">
                <c:v>29.2</c:v>
              </c:pt>
              <c:pt idx="21">
                <c:v>#N/A</c:v>
              </c:pt>
              <c:pt idx="22">
                <c:v>#N/A</c:v>
              </c:pt>
              <c:pt idx="23">
                <c:v>67.099999999999994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60.2</c:v>
              </c:pt>
              <c:pt idx="35">
                <c:v>#N/A</c:v>
              </c:pt>
              <c:pt idx="36">
                <c:v>43.5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36.6</c:v>
              </c:pt>
              <c:pt idx="42">
                <c:v>#N/A</c:v>
              </c:pt>
              <c:pt idx="43">
                <c:v>#N/A</c:v>
              </c:pt>
              <c:pt idx="44">
                <c:v>25.9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20.9</c:v>
              </c:pt>
              <c:pt idx="50">
                <c:v>47.3</c:v>
              </c:pt>
              <c:pt idx="51">
                <c:v>39.5</c:v>
              </c:pt>
              <c:pt idx="52">
                <c:v>#N/A</c:v>
              </c:pt>
              <c:pt idx="53">
                <c:v>42.1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28.4</c:v>
              </c:pt>
              <c:pt idx="69">
                <c:v>25</c:v>
              </c:pt>
              <c:pt idx="70">
                <c:v>#N/A</c:v>
              </c:pt>
              <c:pt idx="71">
                <c:v>#N/A</c:v>
              </c:pt>
              <c:pt idx="72">
                <c:v>36.200000000000003</c:v>
              </c:pt>
              <c:pt idx="73">
                <c:v>21.1</c:v>
              </c:pt>
              <c:pt idx="74">
                <c:v>26.5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24.7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50.8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39.200000000000003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46.4</c:v>
              </c:pt>
              <c:pt idx="135">
                <c:v>#N/A</c:v>
              </c:pt>
              <c:pt idx="136">
                <c:v>26.8</c:v>
              </c:pt>
              <c:pt idx="137">
                <c:v>51.7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26.2</c:v>
              </c:pt>
              <c:pt idx="164">
                <c:v>42.4</c:v>
              </c:pt>
              <c:pt idx="165">
                <c:v>29.2</c:v>
              </c:pt>
              <c:pt idx="166">
                <c:v>#N/A</c:v>
              </c:pt>
              <c:pt idx="167">
                <c:v>47.3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43.2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41.3</c:v>
              </c:pt>
              <c:pt idx="188">
                <c:v>#N/A</c:v>
              </c:pt>
              <c:pt idx="189">
                <c:v>#N/A</c:v>
              </c:pt>
              <c:pt idx="190">
                <c:v>19.7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</c:numLit>
          </c:xVal>
          <c:yVal>
            <c:numRef>
              <c:f>[1]iScatter!$AA$19:$AA$213</c:f>
              <c:numCache>
                <c:formatCode>General</c:formatCode>
                <c:ptCount val="1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17.8</c:v>
                </c:pt>
                <c:pt idx="6">
                  <c:v>41.4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24.7</c:v>
                </c:pt>
                <c:pt idx="12">
                  <c:v>#N/A</c:v>
                </c:pt>
                <c:pt idx="13">
                  <c:v>#N/A</c:v>
                </c:pt>
                <c:pt idx="14">
                  <c:v>33.299999999999997</c:v>
                </c:pt>
                <c:pt idx="15">
                  <c:v>#N/A</c:v>
                </c:pt>
                <c:pt idx="16">
                  <c:v>#N/A</c:v>
                </c:pt>
                <c:pt idx="17">
                  <c:v>30</c:v>
                </c:pt>
                <c:pt idx="18">
                  <c:v>#N/A</c:v>
                </c:pt>
                <c:pt idx="19">
                  <c:v>#N/A</c:v>
                </c:pt>
                <c:pt idx="20">
                  <c:v>44</c:v>
                </c:pt>
                <c:pt idx="21">
                  <c:v>#N/A</c:v>
                </c:pt>
                <c:pt idx="22">
                  <c:v>#N/A</c:v>
                </c:pt>
                <c:pt idx="23">
                  <c:v>59.2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56.2</c:v>
                </c:pt>
                <c:pt idx="35">
                  <c:v>#N/A</c:v>
                </c:pt>
                <c:pt idx="36">
                  <c:v>37.200000000000003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44.2</c:v>
                </c:pt>
                <c:pt idx="42">
                  <c:v>#N/A</c:v>
                </c:pt>
                <c:pt idx="43">
                  <c:v>#N/A</c:v>
                </c:pt>
                <c:pt idx="44">
                  <c:v>41.4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11.2</c:v>
                </c:pt>
                <c:pt idx="50">
                  <c:v>30.5</c:v>
                </c:pt>
                <c:pt idx="51">
                  <c:v>53.9</c:v>
                </c:pt>
                <c:pt idx="52">
                  <c:v>#N/A</c:v>
                </c:pt>
                <c:pt idx="53">
                  <c:v>22.1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8.6</c:v>
                </c:pt>
                <c:pt idx="69">
                  <c:v>21.2</c:v>
                </c:pt>
                <c:pt idx="70">
                  <c:v>#N/A</c:v>
                </c:pt>
                <c:pt idx="71">
                  <c:v>#N/A</c:v>
                </c:pt>
                <c:pt idx="72">
                  <c:v>27.9</c:v>
                </c:pt>
                <c:pt idx="73">
                  <c:v>31.5</c:v>
                </c:pt>
                <c:pt idx="74">
                  <c:v>21.6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20.100000000000001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45.5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41.7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40.5</c:v>
                </c:pt>
                <c:pt idx="135">
                  <c:v>#N/A</c:v>
                </c:pt>
                <c:pt idx="136">
                  <c:v>39.5</c:v>
                </c:pt>
                <c:pt idx="137">
                  <c:v>43.2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8.6999999999999993</c:v>
                </c:pt>
                <c:pt idx="164">
                  <c:v>22.8</c:v>
                </c:pt>
                <c:pt idx="165">
                  <c:v>20</c:v>
                </c:pt>
                <c:pt idx="166">
                  <c:v>#N/A</c:v>
                </c:pt>
                <c:pt idx="167">
                  <c:v>23.3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28.1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44</c:v>
                </c:pt>
                <c:pt idx="188">
                  <c:v>#N/A</c:v>
                </c:pt>
                <c:pt idx="189">
                  <c:v>#N/A</c:v>
                </c:pt>
                <c:pt idx="190">
                  <c:v>23.5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F42-4C38-A21F-8CD90938FFFC}"/>
            </c:ext>
          </c:extLst>
        </c:ser>
        <c:ser>
          <c:idx val="2"/>
          <c:order val="2"/>
          <c:tx>
            <c:v>Labels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[1]iScatter!$B$19</c:f>
                  <c:strCache>
                    <c:ptCount val="1"/>
                    <c:pt idx="0">
                      <c:v>Afghanistan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{2EB7F674-F163-4C71-BE13-8782AA2AD4F3}</c15:txfldGUID>
                      <c15:f>[1]iScatter!$B$19</c15:f>
                      <c15:dlblFieldTableCache>
                        <c:ptCount val="1"/>
                        <c:pt idx="0">
                          <c:v>Afghanistan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F42-4C38-A21F-8CD90938FFFC}"/>
                </c:ext>
              </c:extLst>
            </c:dLbl>
            <c:dLbl>
              <c:idx val="1"/>
              <c:tx>
                <c:strRef>
                  <c:f>[1]iScatter!$B$20</c:f>
                  <c:strCache>
                    <c:ptCount val="1"/>
                    <c:pt idx="0">
                      <c:v>Albania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{6B5B6BD1-C087-4ED4-A11A-4928B7177D12}</c15:txfldGUID>
                      <c15:f>[1]iScatter!$B$20</c15:f>
                      <c15:dlblFieldTableCache>
                        <c:ptCount val="1"/>
                        <c:pt idx="0">
                          <c:v>Albania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F42-4C38-A21F-8CD90938FFFC}"/>
                </c:ext>
              </c:extLst>
            </c:dLbl>
            <c:dLbl>
              <c:idx val="2"/>
              <c:tx>
                <c:strRef>
                  <c:f>[1]iScatter!$B$21</c:f>
                  <c:strCache>
                    <c:ptCount val="1"/>
                    <c:pt idx="0">
                      <c:v>Algeria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{163DA301-CDD6-40D5-9A9B-660D6B96F1D2}</c15:txfldGUID>
                      <c15:f>[1]iScatter!$B$21</c15:f>
                      <c15:dlblFieldTableCache>
                        <c:ptCount val="1"/>
                        <c:pt idx="0">
                          <c:v>Algeria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F42-4C38-A21F-8CD90938FFFC}"/>
                </c:ext>
              </c:extLst>
            </c:dLbl>
            <c:dLbl>
              <c:idx val="3"/>
              <c:tx>
                <c:strRef>
                  <c:f>[1]iScatter!$B$22</c:f>
                  <c:strCache>
                    <c:ptCount val="1"/>
                    <c:pt idx="0">
                      <c:v>Andorra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{CDE744A1-D457-4816-8E8C-43396612C565}</c15:txfldGUID>
                      <c15:f>[1]iScatter!$B$22</c15:f>
                      <c15:dlblFieldTableCache>
                        <c:ptCount val="1"/>
                        <c:pt idx="0">
                          <c:v>Andorra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F42-4C38-A21F-8CD90938FFFC}"/>
                </c:ext>
              </c:extLst>
            </c:dLbl>
            <c:dLbl>
              <c:idx val="4"/>
              <c:tx>
                <c:strRef>
                  <c:f>[1]iScatter!$B$23</c:f>
                  <c:strCache>
                    <c:ptCount val="1"/>
                    <c:pt idx="0">
                      <c:v>Angola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{86F3C79B-057D-417C-8826-6E515229C022}</c15:txfldGUID>
                      <c15:f>[1]iScatter!$B$23</c15:f>
                      <c15:dlblFieldTableCache>
                        <c:ptCount val="1"/>
                        <c:pt idx="0">
                          <c:v>Angola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F42-4C38-A21F-8CD90938FFFC}"/>
                </c:ext>
              </c:extLst>
            </c:dLbl>
            <c:dLbl>
              <c:idx val="5"/>
              <c:tx>
                <c:strRef>
                  <c:f>[1]iScatter!$B$24</c:f>
                  <c:strCache>
                    <c:ptCount val="1"/>
                    <c:pt idx="0">
                      <c:v>Antigua and Barbuda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{B6FD1A46-92D4-4145-88E5-8D2557947229}</c15:txfldGUID>
                      <c15:f>[1]iScatter!$B$24</c15:f>
                      <c15:dlblFieldTableCache>
                        <c:ptCount val="1"/>
                        <c:pt idx="0">
                          <c:v>Antigua and Barbuda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F42-4C38-A21F-8CD90938FFFC}"/>
                </c:ext>
              </c:extLst>
            </c:dLbl>
            <c:dLbl>
              <c:idx val="6"/>
              <c:tx>
                <c:strRef>
                  <c:f>[1]iScatter!$B$25</c:f>
                  <c:strCache>
                    <c:ptCount val="1"/>
                    <c:pt idx="0">
                      <c:v>Argentina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{591F2913-E452-4E6A-B2B2-F379819DAF66}</c15:txfldGUID>
                      <c15:f>[1]iScatter!$B$25</c15:f>
                      <c15:dlblFieldTableCache>
                        <c:ptCount val="1"/>
                        <c:pt idx="0">
                          <c:v>Argentina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AF42-4C38-A21F-8CD90938FFFC}"/>
                </c:ext>
              </c:extLst>
            </c:dLbl>
            <c:dLbl>
              <c:idx val="7"/>
              <c:tx>
                <c:strRef>
                  <c:f>[1]iScatter!$B$26</c:f>
                  <c:strCache>
                    <c:ptCount val="1"/>
                    <c:pt idx="0">
                      <c:v>Armenia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{E9855A55-0E64-4257-866C-2D5158EEED87}</c15:txfldGUID>
                      <c15:f>[1]iScatter!$B$26</c15:f>
                      <c15:dlblFieldTableCache>
                        <c:ptCount val="1"/>
                        <c:pt idx="0">
                          <c:v>Armenia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F42-4C38-A21F-8CD90938FFFC}"/>
                </c:ext>
              </c:extLst>
            </c:dLbl>
            <c:dLbl>
              <c:idx val="8"/>
              <c:tx>
                <c:strRef>
                  <c:f>[1]iScatter!$B$27</c:f>
                  <c:strCache>
                    <c:ptCount val="1"/>
                    <c:pt idx="0">
                      <c:v>Australia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{C41C46A7-ADF2-48BA-8CFC-34E1E1E12051}</c15:txfldGUID>
                      <c15:f>[1]iScatter!$B$27</c15:f>
                      <c15:dlblFieldTableCache>
                        <c:ptCount val="1"/>
                        <c:pt idx="0">
                          <c:v>Australia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AF42-4C38-A21F-8CD90938FFFC}"/>
                </c:ext>
              </c:extLst>
            </c:dLbl>
            <c:dLbl>
              <c:idx val="9"/>
              <c:tx>
                <c:strRef>
                  <c:f>[1]iScatter!$B$28</c:f>
                  <c:strCache>
                    <c:ptCount val="1"/>
                    <c:pt idx="0">
                      <c:v>Austria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{9FBCEDBF-2095-4E5F-A60D-2D4400E8CAE4}</c15:txfldGUID>
                      <c15:f>[1]iScatter!$B$28</c15:f>
                      <c15:dlblFieldTableCache>
                        <c:ptCount val="1"/>
                        <c:pt idx="0">
                          <c:v>Austria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AF42-4C38-A21F-8CD90938FFFC}"/>
                </c:ext>
              </c:extLst>
            </c:dLbl>
            <c:dLbl>
              <c:idx val="10"/>
              <c:tx>
                <c:strRef>
                  <c:f>[1]iScatter!$B$29</c:f>
                  <c:strCache>
                    <c:ptCount val="1"/>
                    <c:pt idx="0">
                      <c:v>Azerbaijan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{0CE936C9-7AB1-4C1D-8DBC-8917F4B437ED}</c15:txfldGUID>
                      <c15:f>[1]iScatter!$B$29</c15:f>
                      <c15:dlblFieldTableCache>
                        <c:ptCount val="1"/>
                        <c:pt idx="0">
                          <c:v>Azerbaijan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AF42-4C38-A21F-8CD90938FFFC}"/>
                </c:ext>
              </c:extLst>
            </c:dLbl>
            <c:dLbl>
              <c:idx val="11"/>
              <c:tx>
                <c:strRef>
                  <c:f>[1]iScatter!$B$30</c:f>
                  <c:strCache>
                    <c:ptCount val="1"/>
                    <c:pt idx="0">
                      <c:v>Bahamas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{BD374B3F-8D0C-4508-83C6-B8C7DB0A1C86}</c15:txfldGUID>
                      <c15:f>[1]iScatter!$B$30</c15:f>
                      <c15:dlblFieldTableCache>
                        <c:ptCount val="1"/>
                        <c:pt idx="0">
                          <c:v>Bahamas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AF42-4C38-A21F-8CD90938FFFC}"/>
                </c:ext>
              </c:extLst>
            </c:dLbl>
            <c:dLbl>
              <c:idx val="12"/>
              <c:tx>
                <c:strRef>
                  <c:f>[1]iScatter!$B$31</c:f>
                  <c:strCache>
                    <c:ptCount val="1"/>
                    <c:pt idx="0">
                      <c:v>Bahrain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{F8965C6C-16E1-4A10-B360-99209C8F978B}</c15:txfldGUID>
                      <c15:f>[1]iScatter!$B$31</c15:f>
                      <c15:dlblFieldTableCache>
                        <c:ptCount val="1"/>
                        <c:pt idx="0">
                          <c:v>Bahrain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AF42-4C38-A21F-8CD90938FFFC}"/>
                </c:ext>
              </c:extLst>
            </c:dLbl>
            <c:dLbl>
              <c:idx val="13"/>
              <c:tx>
                <c:strRef>
                  <c:f>[1]iScatter!$B$32</c:f>
                  <c:strCache>
                    <c:ptCount val="1"/>
                    <c:pt idx="0">
                      <c:v>Bangladesh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{6AAE8B72-13A6-4649-8C1E-123BD5A9DE20}</c15:txfldGUID>
                      <c15:f>[1]iScatter!$B$32</c15:f>
                      <c15:dlblFieldTableCache>
                        <c:ptCount val="1"/>
                        <c:pt idx="0">
                          <c:v>Bangladesh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AF42-4C38-A21F-8CD90938FFFC}"/>
                </c:ext>
              </c:extLst>
            </c:dLbl>
            <c:dLbl>
              <c:idx val="14"/>
              <c:tx>
                <c:strRef>
                  <c:f>[1]iScatter!$B$33</c:f>
                  <c:strCache>
                    <c:ptCount val="1"/>
                    <c:pt idx="0">
                      <c:v>Barbados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{47D609AC-9F9C-43A1-AA32-D4B52C97BF10}</c15:txfldGUID>
                      <c15:f>[1]iScatter!$B$33</c15:f>
                      <c15:dlblFieldTableCache>
                        <c:ptCount val="1"/>
                        <c:pt idx="0">
                          <c:v>Barbados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AF42-4C38-A21F-8CD90938FFFC}"/>
                </c:ext>
              </c:extLst>
            </c:dLbl>
            <c:dLbl>
              <c:idx val="15"/>
              <c:tx>
                <c:strRef>
                  <c:f>[1]iScatter!$B$34</c:f>
                  <c:strCache>
                    <c:ptCount val="1"/>
                    <c:pt idx="0">
                      <c:v>Belarus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{8383DB69-AE44-407B-B9A7-8F16D99BDDA5}</c15:txfldGUID>
                      <c15:f>[1]iScatter!$B$34</c15:f>
                      <c15:dlblFieldTableCache>
                        <c:ptCount val="1"/>
                        <c:pt idx="0">
                          <c:v>Belarus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AF42-4C38-A21F-8CD90938FFFC}"/>
                </c:ext>
              </c:extLst>
            </c:dLbl>
            <c:dLbl>
              <c:idx val="16"/>
              <c:tx>
                <c:strRef>
                  <c:f>[1]iScatter!$B$35</c:f>
                  <c:strCache>
                    <c:ptCount val="1"/>
                    <c:pt idx="0">
                      <c:v>Belgium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{5C6209FE-10E9-4483-A61E-34EEF493600A}</c15:txfldGUID>
                      <c15:f>[1]iScatter!$B$35</c15:f>
                      <c15:dlblFieldTableCache>
                        <c:ptCount val="1"/>
                        <c:pt idx="0">
                          <c:v>Belgium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AF42-4C38-A21F-8CD90938FFFC}"/>
                </c:ext>
              </c:extLst>
            </c:dLbl>
            <c:dLbl>
              <c:idx val="17"/>
              <c:tx>
                <c:strRef>
                  <c:f>[1]iScatter!$B$36</c:f>
                  <c:strCache>
                    <c:ptCount val="1"/>
                    <c:pt idx="0">
                      <c:v>Belize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{2944D54F-E332-4CA5-951D-39120FFB06A6}</c15:txfldGUID>
                      <c15:f>[1]iScatter!$B$36</c15:f>
                      <c15:dlblFieldTableCache>
                        <c:ptCount val="1"/>
                        <c:pt idx="0">
                          <c:v>Belize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AF42-4C38-A21F-8CD90938FFFC}"/>
                </c:ext>
              </c:extLst>
            </c:dLbl>
            <c:dLbl>
              <c:idx val="18"/>
              <c:tx>
                <c:strRef>
                  <c:f>[1]iScatter!$B$37</c:f>
                  <c:strCache>
                    <c:ptCount val="1"/>
                    <c:pt idx="0">
                      <c:v>Benin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{79E5296D-FF96-4DB0-9D2C-ACB4BEDC7ACA}</c15:txfldGUID>
                      <c15:f>[1]iScatter!$B$37</c15:f>
                      <c15:dlblFieldTableCache>
                        <c:ptCount val="1"/>
                        <c:pt idx="0">
                          <c:v>Benin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AF42-4C38-A21F-8CD90938FFFC}"/>
                </c:ext>
              </c:extLst>
            </c:dLbl>
            <c:dLbl>
              <c:idx val="19"/>
              <c:tx>
                <c:strRef>
                  <c:f>[1]iScatter!$B$38</c:f>
                  <c:strCache>
                    <c:ptCount val="1"/>
                    <c:pt idx="0">
                      <c:v>Bhutan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{2808768D-A1AD-4E64-83E9-AD2123407F61}</c15:txfldGUID>
                      <c15:f>[1]iScatter!$B$38</c15:f>
                      <c15:dlblFieldTableCache>
                        <c:ptCount val="1"/>
                        <c:pt idx="0">
                          <c:v>Bhutan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AF42-4C38-A21F-8CD90938FFFC}"/>
                </c:ext>
              </c:extLst>
            </c:dLbl>
            <c:dLbl>
              <c:idx val="20"/>
              <c:tx>
                <c:strRef>
                  <c:f>[1]iScatter!$B$39</c:f>
                  <c:strCache>
                    <c:ptCount val="1"/>
                    <c:pt idx="0">
                      <c:v>Bolivia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{2DAC6BA8-D33C-49AC-9C4F-7671D88602ED}</c15:txfldGUID>
                      <c15:f>[1]iScatter!$B$39</c15:f>
                      <c15:dlblFieldTableCache>
                        <c:ptCount val="1"/>
                        <c:pt idx="0">
                          <c:v>Bolivia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AF42-4C38-A21F-8CD90938FFFC}"/>
                </c:ext>
              </c:extLst>
            </c:dLbl>
            <c:dLbl>
              <c:idx val="21"/>
              <c:tx>
                <c:strRef>
                  <c:f>[1]iScatter!$B$40</c:f>
                  <c:strCache>
                    <c:ptCount val="1"/>
                    <c:pt idx="0">
                      <c:v>Bosnia and Herzegovina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{060AD661-1A78-4043-9FCF-3AFD59736A5D}</c15:txfldGUID>
                      <c15:f>[1]iScatter!$B$40</c15:f>
                      <c15:dlblFieldTableCache>
                        <c:ptCount val="1"/>
                        <c:pt idx="0">
                          <c:v>Bosnia and Herzegovina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AF42-4C38-A21F-8CD90938FFFC}"/>
                </c:ext>
              </c:extLst>
            </c:dLbl>
            <c:dLbl>
              <c:idx val="22"/>
              <c:tx>
                <c:strRef>
                  <c:f>[1]iScatter!$B$41</c:f>
                  <c:strCache>
                    <c:ptCount val="1"/>
                    <c:pt idx="0">
                      <c:v>Botswana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{4D725F0A-FFA6-4BF8-ADF6-D48DA363E9BB}</c15:txfldGUID>
                      <c15:f>[1]iScatter!$B$41</c15:f>
                      <c15:dlblFieldTableCache>
                        <c:ptCount val="1"/>
                        <c:pt idx="0">
                          <c:v>Botswana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AF42-4C38-A21F-8CD90938FFFC}"/>
                </c:ext>
              </c:extLst>
            </c:dLbl>
            <c:dLbl>
              <c:idx val="23"/>
              <c:tx>
                <c:strRef>
                  <c:f>[1]iScatter!$B$42</c:f>
                  <c:strCache>
                    <c:ptCount val="1"/>
                    <c:pt idx="0">
                      <c:v>Brazil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{AEA87F7D-C0DC-431F-834D-BE7AED4BA526}</c15:txfldGUID>
                      <c15:f>[1]iScatter!$B$42</c15:f>
                      <c15:dlblFieldTableCache>
                        <c:ptCount val="1"/>
                        <c:pt idx="0">
                          <c:v>Brazil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AF42-4C38-A21F-8CD90938FFFC}"/>
                </c:ext>
              </c:extLst>
            </c:dLbl>
            <c:dLbl>
              <c:idx val="24"/>
              <c:tx>
                <c:strRef>
                  <c:f>[1]iScatter!$B$43</c:f>
                  <c:strCache>
                    <c:ptCount val="1"/>
                    <c:pt idx="0">
                      <c:v>Brunei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{78C00209-F7E2-4FC0-8BAE-5DD5F7A70965}</c15:txfldGUID>
                      <c15:f>[1]iScatter!$B$43</c15:f>
                      <c15:dlblFieldTableCache>
                        <c:ptCount val="1"/>
                        <c:pt idx="0">
                          <c:v>Brunei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AF42-4C38-A21F-8CD90938FFFC}"/>
                </c:ext>
              </c:extLst>
            </c:dLbl>
            <c:dLbl>
              <c:idx val="25"/>
              <c:tx>
                <c:strRef>
                  <c:f>[1]iScatter!$B$44</c:f>
                  <c:strCache>
                    <c:ptCount val="1"/>
                    <c:pt idx="0">
                      <c:v>Bulgaria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{5A793234-4596-408A-B6CB-3A8718476FF1}</c15:txfldGUID>
                      <c15:f>[1]iScatter!$B$44</c15:f>
                      <c15:dlblFieldTableCache>
                        <c:ptCount val="1"/>
                        <c:pt idx="0">
                          <c:v>Bulgaria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AF42-4C38-A21F-8CD90938FFFC}"/>
                </c:ext>
              </c:extLst>
            </c:dLbl>
            <c:dLbl>
              <c:idx val="26"/>
              <c:tx>
                <c:strRef>
                  <c:f>[1]iScatter!$B$45</c:f>
                  <c:strCache>
                    <c:ptCount val="1"/>
                    <c:pt idx="0">
                      <c:v>Burkina Faso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{315E25D2-4623-44EF-A688-334A711FAA9A}</c15:txfldGUID>
                      <c15:f>[1]iScatter!$B$45</c15:f>
                      <c15:dlblFieldTableCache>
                        <c:ptCount val="1"/>
                        <c:pt idx="0">
                          <c:v>Burkina Faso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AF42-4C38-A21F-8CD90938FFFC}"/>
                </c:ext>
              </c:extLst>
            </c:dLbl>
            <c:dLbl>
              <c:idx val="27"/>
              <c:tx>
                <c:strRef>
                  <c:f>[1]iScatter!$B$46</c:f>
                  <c:strCache>
                    <c:ptCount val="1"/>
                    <c:pt idx="0">
                      <c:v>Burundi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{7DAA59A7-20DB-4B69-A87C-75E20EA36528}</c15:txfldGUID>
                      <c15:f>[1]iScatter!$B$46</c15:f>
                      <c15:dlblFieldTableCache>
                        <c:ptCount val="1"/>
                        <c:pt idx="0">
                          <c:v>Burundi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AF42-4C38-A21F-8CD90938FFFC}"/>
                </c:ext>
              </c:extLst>
            </c:dLbl>
            <c:dLbl>
              <c:idx val="28"/>
              <c:tx>
                <c:strRef>
                  <c:f>[1]iScatter!$B$47</c:f>
                  <c:strCache>
                    <c:ptCount val="1"/>
                    <c:pt idx="0">
                      <c:v>Cabo Verde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{0611B42E-BC2A-4689-A920-C5E67D094795}</c15:txfldGUID>
                      <c15:f>[1]iScatter!$B$47</c15:f>
                      <c15:dlblFieldTableCache>
                        <c:ptCount val="1"/>
                        <c:pt idx="0">
                          <c:v>Cabo Verde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AF42-4C38-A21F-8CD90938FFFC}"/>
                </c:ext>
              </c:extLst>
            </c:dLbl>
            <c:dLbl>
              <c:idx val="29"/>
              <c:tx>
                <c:strRef>
                  <c:f>[1]iScatter!$B$48</c:f>
                  <c:strCache>
                    <c:ptCount val="1"/>
                    <c:pt idx="0">
                      <c:v>Cambodia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{D9511649-CBDA-4D23-9BFE-9330B53BDC0F}</c15:txfldGUID>
                      <c15:f>[1]iScatter!$B$48</c15:f>
                      <c15:dlblFieldTableCache>
                        <c:ptCount val="1"/>
                        <c:pt idx="0">
                          <c:v>Cambodia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AF42-4C38-A21F-8CD90938FFFC}"/>
                </c:ext>
              </c:extLst>
            </c:dLbl>
            <c:dLbl>
              <c:idx val="30"/>
              <c:tx>
                <c:strRef>
                  <c:f>[1]iScatter!$B$49</c:f>
                  <c:strCache>
                    <c:ptCount val="1"/>
                    <c:pt idx="0">
                      <c:v>Cameroon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{68E80EE8-5EE2-4922-A3A4-88E87C6122D0}</c15:txfldGUID>
                      <c15:f>[1]iScatter!$B$49</c15:f>
                      <c15:dlblFieldTableCache>
                        <c:ptCount val="1"/>
                        <c:pt idx="0">
                          <c:v>Cameroon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AF42-4C38-A21F-8CD90938FFFC}"/>
                </c:ext>
              </c:extLst>
            </c:dLbl>
            <c:dLbl>
              <c:idx val="31"/>
              <c:tx>
                <c:strRef>
                  <c:f>[1]iScatter!$B$50</c:f>
                  <c:strCache>
                    <c:ptCount val="1"/>
                    <c:pt idx="0">
                      <c:v>Canada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{9870DCF5-7B92-4A2A-872E-E122BED583F8}</c15:txfldGUID>
                      <c15:f>[1]iScatter!$B$50</c15:f>
                      <c15:dlblFieldTableCache>
                        <c:ptCount val="1"/>
                        <c:pt idx="0">
                          <c:v>Canada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AF42-4C38-A21F-8CD90938FFFC}"/>
                </c:ext>
              </c:extLst>
            </c:dLbl>
            <c:dLbl>
              <c:idx val="32"/>
              <c:tx>
                <c:strRef>
                  <c:f>[1]iScatter!$B$51</c:f>
                  <c:strCache>
                    <c:ptCount val="1"/>
                    <c:pt idx="0">
                      <c:v>Central African Republic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{22B9B3EF-D3F7-49FF-BF7A-6E2E90A4F807}</c15:txfldGUID>
                      <c15:f>[1]iScatter!$B$51</c15:f>
                      <c15:dlblFieldTableCache>
                        <c:ptCount val="1"/>
                        <c:pt idx="0">
                          <c:v>Central African Republic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AF42-4C38-A21F-8CD90938FFFC}"/>
                </c:ext>
              </c:extLst>
            </c:dLbl>
            <c:dLbl>
              <c:idx val="33"/>
              <c:tx>
                <c:strRef>
                  <c:f>[1]iScatter!$B$52</c:f>
                  <c:strCache>
                    <c:ptCount val="1"/>
                    <c:pt idx="0">
                      <c:v>Chad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{481473D3-C193-46FE-8495-C7B68C69A49B}</c15:txfldGUID>
                      <c15:f>[1]iScatter!$B$52</c15:f>
                      <c15:dlblFieldTableCache>
                        <c:ptCount val="1"/>
                        <c:pt idx="0">
                          <c:v>Chad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AF42-4C38-A21F-8CD90938FFFC}"/>
                </c:ext>
              </c:extLst>
            </c:dLbl>
            <c:dLbl>
              <c:idx val="34"/>
              <c:tx>
                <c:strRef>
                  <c:f>[1]iScatter!$B$53</c:f>
                  <c:strCache>
                    <c:ptCount val="1"/>
                    <c:pt idx="0">
                      <c:v>Chile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{F62C1AB2-DAFB-491F-BE60-BA7B431554BB}</c15:txfldGUID>
                      <c15:f>[1]iScatter!$B$53</c15:f>
                      <c15:dlblFieldTableCache>
                        <c:ptCount val="1"/>
                        <c:pt idx="0">
                          <c:v>Chile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AF42-4C38-A21F-8CD90938FFFC}"/>
                </c:ext>
              </c:extLst>
            </c:dLbl>
            <c:dLbl>
              <c:idx val="35"/>
              <c:tx>
                <c:strRef>
                  <c:f>[1]iScatter!$B$54</c:f>
                  <c:strCache>
                    <c:ptCount val="1"/>
                    <c:pt idx="0">
                      <c:v>China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{36F4D106-DF3C-4E5A-9F8B-88C44503A828}</c15:txfldGUID>
                      <c15:f>[1]iScatter!$B$54</c15:f>
                      <c15:dlblFieldTableCache>
                        <c:ptCount val="1"/>
                        <c:pt idx="0">
                          <c:v>China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AF42-4C38-A21F-8CD90938FFFC}"/>
                </c:ext>
              </c:extLst>
            </c:dLbl>
            <c:dLbl>
              <c:idx val="36"/>
              <c:tx>
                <c:strRef>
                  <c:f>[1]iScatter!$B$55</c:f>
                  <c:strCache>
                    <c:ptCount val="1"/>
                    <c:pt idx="0">
                      <c:v>Colombia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{E15CC445-EAB8-4F55-85C5-14BB02C7BDAD}</c15:txfldGUID>
                      <c15:f>[1]iScatter!$B$55</c15:f>
                      <c15:dlblFieldTableCache>
                        <c:ptCount val="1"/>
                        <c:pt idx="0">
                          <c:v>Colombia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AF42-4C38-A21F-8CD90938FFFC}"/>
                </c:ext>
              </c:extLst>
            </c:dLbl>
            <c:dLbl>
              <c:idx val="37"/>
              <c:tx>
                <c:strRef>
                  <c:f>[1]iScatter!$B$56</c:f>
                  <c:strCache>
                    <c:ptCount val="1"/>
                    <c:pt idx="0">
                      <c:v>Comoros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{767EEC1C-1036-4AC3-8783-DC6298D5C40A}</c15:txfldGUID>
                      <c15:f>[1]iScatter!$B$56</c15:f>
                      <c15:dlblFieldTableCache>
                        <c:ptCount val="1"/>
                        <c:pt idx="0">
                          <c:v>Comoros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AF42-4C38-A21F-8CD90938FFFC}"/>
                </c:ext>
              </c:extLst>
            </c:dLbl>
            <c:dLbl>
              <c:idx val="38"/>
              <c:tx>
                <c:strRef>
                  <c:f>[1]iScatter!$B$57</c:f>
                  <c:strCache>
                    <c:ptCount val="1"/>
                    <c:pt idx="0">
                      <c:v>Congo (Brazzaville)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{D25F55A9-C2B4-446D-852B-0C4BDBF75064}</c15:txfldGUID>
                      <c15:f>[1]iScatter!$B$57</c15:f>
                      <c15:dlblFieldTableCache>
                        <c:ptCount val="1"/>
                        <c:pt idx="0">
                          <c:v>Congo (Brazzaville)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AF42-4C38-A21F-8CD90938FFFC}"/>
                </c:ext>
              </c:extLst>
            </c:dLbl>
            <c:dLbl>
              <c:idx val="39"/>
              <c:tx>
                <c:strRef>
                  <c:f>[1]iScatter!$B$58</c:f>
                  <c:strCache>
                    <c:ptCount val="1"/>
                    <c:pt idx="0">
                      <c:v>Congo (Democratic Republic)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{8589101F-542C-4A0D-91E2-775FC6EC4B21}</c15:txfldGUID>
                      <c15:f>[1]iScatter!$B$58</c15:f>
                      <c15:dlblFieldTableCache>
                        <c:ptCount val="1"/>
                        <c:pt idx="0">
                          <c:v>Congo (Democratic Republic)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AF42-4C38-A21F-8CD90938FFFC}"/>
                </c:ext>
              </c:extLst>
            </c:dLbl>
            <c:dLbl>
              <c:idx val="40"/>
              <c:tx>
                <c:strRef>
                  <c:f>[1]iScatter!$B$59</c:f>
                  <c:strCache>
                    <c:ptCount val="1"/>
                    <c:pt idx="0">
                      <c:v>Cook Islands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{0B157C71-2BB4-490F-979D-F8FBB067EE17}</c15:txfldGUID>
                      <c15:f>[1]iScatter!$B$59</c15:f>
                      <c15:dlblFieldTableCache>
                        <c:ptCount val="1"/>
                        <c:pt idx="0">
                          <c:v>Cook Islands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AF42-4C38-A21F-8CD90938FFFC}"/>
                </c:ext>
              </c:extLst>
            </c:dLbl>
            <c:dLbl>
              <c:idx val="41"/>
              <c:tx>
                <c:strRef>
                  <c:f>[1]iScatter!$B$60</c:f>
                  <c:strCache>
                    <c:ptCount val="1"/>
                    <c:pt idx="0">
                      <c:v>Costa Rica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{DDD81555-2E57-4FA3-8D64-AA0D7EBAB08B}</c15:txfldGUID>
                      <c15:f>[1]iScatter!$B$60</c15:f>
                      <c15:dlblFieldTableCache>
                        <c:ptCount val="1"/>
                        <c:pt idx="0">
                          <c:v>Costa Rica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AF42-4C38-A21F-8CD90938FFFC}"/>
                </c:ext>
              </c:extLst>
            </c:dLbl>
            <c:dLbl>
              <c:idx val="42"/>
              <c:tx>
                <c:strRef>
                  <c:f>[1]iScatter!$B$61</c:f>
                  <c:strCache>
                    <c:ptCount val="1"/>
                    <c:pt idx="0">
                      <c:v>Côte d'Ivoire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{266D96D3-3B84-43C8-8516-7299DFB5B034}</c15:txfldGUID>
                      <c15:f>[1]iScatter!$B$61</c15:f>
                      <c15:dlblFieldTableCache>
                        <c:ptCount val="1"/>
                        <c:pt idx="0">
                          <c:v>Côte d'Ivoire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AF42-4C38-A21F-8CD90938FFFC}"/>
                </c:ext>
              </c:extLst>
            </c:dLbl>
            <c:dLbl>
              <c:idx val="43"/>
              <c:tx>
                <c:strRef>
                  <c:f>[1]iScatter!$B$62</c:f>
                  <c:strCache>
                    <c:ptCount val="1"/>
                    <c:pt idx="0">
                      <c:v>Croatia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{B6CB5F5E-6049-4246-9962-5F64FD49CCD7}</c15:txfldGUID>
                      <c15:f>[1]iScatter!$B$62</c15:f>
                      <c15:dlblFieldTableCache>
                        <c:ptCount val="1"/>
                        <c:pt idx="0">
                          <c:v>Croatia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AF42-4C38-A21F-8CD90938FFFC}"/>
                </c:ext>
              </c:extLst>
            </c:dLbl>
            <c:dLbl>
              <c:idx val="44"/>
              <c:tx>
                <c:strRef>
                  <c:f>[1]iScatter!$B$63</c:f>
                  <c:strCache>
                    <c:ptCount val="1"/>
                    <c:pt idx="0">
                      <c:v>Cuba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{25BAD0A7-88F5-4B3A-9D4C-433F8039B737}</c15:txfldGUID>
                      <c15:f>[1]iScatter!$B$63</c15:f>
                      <c15:dlblFieldTableCache>
                        <c:ptCount val="1"/>
                        <c:pt idx="0">
                          <c:v>Cuba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AF42-4C38-A21F-8CD90938FFFC}"/>
                </c:ext>
              </c:extLst>
            </c:dLbl>
            <c:dLbl>
              <c:idx val="45"/>
              <c:tx>
                <c:strRef>
                  <c:f>[1]iScatter!$B$64</c:f>
                  <c:strCache>
                    <c:ptCount val="1"/>
                    <c:pt idx="0">
                      <c:v>Cyprus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{299FB870-43E3-4027-ADC4-09CAAD3EC134}</c15:txfldGUID>
                      <c15:f>[1]iScatter!$B$64</c15:f>
                      <c15:dlblFieldTableCache>
                        <c:ptCount val="1"/>
                        <c:pt idx="0">
                          <c:v>Cyprus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AF42-4C38-A21F-8CD90938FFFC}"/>
                </c:ext>
              </c:extLst>
            </c:dLbl>
            <c:dLbl>
              <c:idx val="46"/>
              <c:tx>
                <c:strRef>
                  <c:f>[1]iScatter!$B$65</c:f>
                  <c:strCache>
                    <c:ptCount val="1"/>
                    <c:pt idx="0">
                      <c:v>Czech Republic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{C81A16D6-7633-4073-98B8-53A967055EDD}</c15:txfldGUID>
                      <c15:f>[1]iScatter!$B$65</c15:f>
                      <c15:dlblFieldTableCache>
                        <c:ptCount val="1"/>
                        <c:pt idx="0">
                          <c:v>Czech Republic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AF42-4C38-A21F-8CD90938FFFC}"/>
                </c:ext>
              </c:extLst>
            </c:dLbl>
            <c:dLbl>
              <c:idx val="47"/>
              <c:tx>
                <c:strRef>
                  <c:f>[1]iScatter!$B$66</c:f>
                  <c:strCache>
                    <c:ptCount val="1"/>
                    <c:pt idx="0">
                      <c:v>Denmark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{E2E40205-2EBE-4D4F-91B7-6B436AC3AA00}</c15:txfldGUID>
                      <c15:f>[1]iScatter!$B$66</c15:f>
                      <c15:dlblFieldTableCache>
                        <c:ptCount val="1"/>
                        <c:pt idx="0">
                          <c:v>Denmark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AF42-4C38-A21F-8CD90938FFFC}"/>
                </c:ext>
              </c:extLst>
            </c:dLbl>
            <c:dLbl>
              <c:idx val="48"/>
              <c:tx>
                <c:strRef>
                  <c:f>[1]iScatter!$B$67</c:f>
                  <c:strCache>
                    <c:ptCount val="1"/>
                    <c:pt idx="0">
                      <c:v>Djibouti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{61138233-F15C-4DE7-8C0E-E5DC37CAFED5}</c15:txfldGUID>
                      <c15:f>[1]iScatter!$B$67</c15:f>
                      <c15:dlblFieldTableCache>
                        <c:ptCount val="1"/>
                        <c:pt idx="0">
                          <c:v>Djibouti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AF42-4C38-A21F-8CD90938FFFC}"/>
                </c:ext>
              </c:extLst>
            </c:dLbl>
            <c:dLbl>
              <c:idx val="49"/>
              <c:tx>
                <c:strRef>
                  <c:f>[1]iScatter!$B$68</c:f>
                  <c:strCache>
                    <c:ptCount val="1"/>
                    <c:pt idx="0">
                      <c:v>Dominica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{9D43AE65-118E-466B-B522-30ACFB222336}</c15:txfldGUID>
                      <c15:f>[1]iScatter!$B$68</c15:f>
                      <c15:dlblFieldTableCache>
                        <c:ptCount val="1"/>
                        <c:pt idx="0">
                          <c:v>Dominica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AF42-4C38-A21F-8CD90938FFFC}"/>
                </c:ext>
              </c:extLst>
            </c:dLbl>
            <c:dLbl>
              <c:idx val="50"/>
              <c:tx>
                <c:strRef>
                  <c:f>[1]iScatter!$B$69</c:f>
                  <c:strCache>
                    <c:ptCount val="1"/>
                    <c:pt idx="0">
                      <c:v>Dominican Republic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{823BCD68-9691-4569-BD2C-66B37832AD02}</c15:txfldGUID>
                      <c15:f>[1]iScatter!$B$69</c15:f>
                      <c15:dlblFieldTableCache>
                        <c:ptCount val="1"/>
                        <c:pt idx="0">
                          <c:v>Dominican Republic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AF42-4C38-A21F-8CD90938FFFC}"/>
                </c:ext>
              </c:extLst>
            </c:dLbl>
            <c:dLbl>
              <c:idx val="51"/>
              <c:tx>
                <c:strRef>
                  <c:f>[1]iScatter!$B$70</c:f>
                  <c:strCache>
                    <c:ptCount val="1"/>
                    <c:pt idx="0">
                      <c:v>Ecuador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{E35D6D4E-DA3E-49CC-B81E-634AD4205576}</c15:txfldGUID>
                      <c15:f>[1]iScatter!$B$70</c15:f>
                      <c15:dlblFieldTableCache>
                        <c:ptCount val="1"/>
                        <c:pt idx="0">
                          <c:v>Ecuador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AF42-4C38-A21F-8CD90938FFFC}"/>
                </c:ext>
              </c:extLst>
            </c:dLbl>
            <c:dLbl>
              <c:idx val="52"/>
              <c:tx>
                <c:strRef>
                  <c:f>[1]iScatter!$B$71</c:f>
                  <c:strCache>
                    <c:ptCount val="1"/>
                    <c:pt idx="0">
                      <c:v>Egypt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{298B3B76-6DD9-498A-8FC1-AC7BC78DE63F}</c15:txfldGUID>
                      <c15:f>[1]iScatter!$B$71</c15:f>
                      <c15:dlblFieldTableCache>
                        <c:ptCount val="1"/>
                        <c:pt idx="0">
                          <c:v>Egypt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AF42-4C38-A21F-8CD90938FFFC}"/>
                </c:ext>
              </c:extLst>
            </c:dLbl>
            <c:dLbl>
              <c:idx val="53"/>
              <c:tx>
                <c:strRef>
                  <c:f>[1]iScatter!$B$72</c:f>
                  <c:strCache>
                    <c:ptCount val="1"/>
                    <c:pt idx="0">
                      <c:v>El Salvador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{74F3F979-63B8-4F65-AC2B-A503F4B29CC8}</c15:txfldGUID>
                      <c15:f>[1]iScatter!$B$72</c15:f>
                      <c15:dlblFieldTableCache>
                        <c:ptCount val="1"/>
                        <c:pt idx="0">
                          <c:v>El Salvador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AF42-4C38-A21F-8CD90938FFFC}"/>
                </c:ext>
              </c:extLst>
            </c:dLbl>
            <c:dLbl>
              <c:idx val="54"/>
              <c:tx>
                <c:strRef>
                  <c:f>[1]iScatter!$B$73</c:f>
                  <c:strCache>
                    <c:ptCount val="1"/>
                    <c:pt idx="0">
                      <c:v>Equatorial Guinea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{DF6D1A1A-91E7-499D-BAD4-D5A258A1905A}</c15:txfldGUID>
                      <c15:f>[1]iScatter!$B$73</c15:f>
                      <c15:dlblFieldTableCache>
                        <c:ptCount val="1"/>
                        <c:pt idx="0">
                          <c:v>Equatorial Guinea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AF42-4C38-A21F-8CD90938FFFC}"/>
                </c:ext>
              </c:extLst>
            </c:dLbl>
            <c:dLbl>
              <c:idx val="55"/>
              <c:tx>
                <c:strRef>
                  <c:f>[1]iScatter!$B$74</c:f>
                  <c:strCache>
                    <c:ptCount val="1"/>
                    <c:pt idx="0">
                      <c:v>Eritrea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{778987A4-B2A5-4714-8794-6DF017D1B772}</c15:txfldGUID>
                      <c15:f>[1]iScatter!$B$74</c15:f>
                      <c15:dlblFieldTableCache>
                        <c:ptCount val="1"/>
                        <c:pt idx="0">
                          <c:v>Eritrea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AF42-4C38-A21F-8CD90938FFFC}"/>
                </c:ext>
              </c:extLst>
            </c:dLbl>
            <c:dLbl>
              <c:idx val="56"/>
              <c:tx>
                <c:strRef>
                  <c:f>[1]iScatter!$B$75</c:f>
                  <c:strCache>
                    <c:ptCount val="1"/>
                    <c:pt idx="0">
                      <c:v>Estonia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{6469CBC4-5D07-434C-BAEB-FB8181610BBB}</c15:txfldGUID>
                      <c15:f>[1]iScatter!$B$75</c15:f>
                      <c15:dlblFieldTableCache>
                        <c:ptCount val="1"/>
                        <c:pt idx="0">
                          <c:v>Estonia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AF42-4C38-A21F-8CD90938FFFC}"/>
                </c:ext>
              </c:extLst>
            </c:dLbl>
            <c:dLbl>
              <c:idx val="57"/>
              <c:tx>
                <c:strRef>
                  <c:f>[1]iScatter!$B$76</c:f>
                  <c:strCache>
                    <c:ptCount val="1"/>
                    <c:pt idx="0">
                      <c:v>eSwatini (Swaziland)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{D44B6626-1CFE-40AC-9A9C-855FB665786D}</c15:txfldGUID>
                      <c15:f>[1]iScatter!$B$76</c15:f>
                      <c15:dlblFieldTableCache>
                        <c:ptCount val="1"/>
                        <c:pt idx="0">
                          <c:v>eSwatini (Swaziland)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AF42-4C38-A21F-8CD90938FFFC}"/>
                </c:ext>
              </c:extLst>
            </c:dLbl>
            <c:dLbl>
              <c:idx val="58"/>
              <c:tx>
                <c:strRef>
                  <c:f>[1]iScatter!$B$77</c:f>
                  <c:strCache>
                    <c:ptCount val="1"/>
                    <c:pt idx="0">
                      <c:v>Ethiopia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{8D2BA8CD-BE9D-4589-BFFD-CEECD1395260}</c15:txfldGUID>
                      <c15:f>[1]iScatter!$B$77</c15:f>
                      <c15:dlblFieldTableCache>
                        <c:ptCount val="1"/>
                        <c:pt idx="0">
                          <c:v>Ethiopia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AF42-4C38-A21F-8CD90938FFFC}"/>
                </c:ext>
              </c:extLst>
            </c:dLbl>
            <c:dLbl>
              <c:idx val="59"/>
              <c:tx>
                <c:strRef>
                  <c:f>[1]iScatter!$B$78</c:f>
                  <c:strCache>
                    <c:ptCount val="1"/>
                    <c:pt idx="0">
                      <c:v>Fiji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{6646ABE1-293E-4C8D-BB11-580B60AB763B}</c15:txfldGUID>
                      <c15:f>[1]iScatter!$B$78</c15:f>
                      <c15:dlblFieldTableCache>
                        <c:ptCount val="1"/>
                        <c:pt idx="0">
                          <c:v>Fiji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AF42-4C38-A21F-8CD90938FFFC}"/>
                </c:ext>
              </c:extLst>
            </c:dLbl>
            <c:dLbl>
              <c:idx val="60"/>
              <c:tx>
                <c:strRef>
                  <c:f>[1]iScatter!$B$79</c:f>
                  <c:strCache>
                    <c:ptCount val="1"/>
                    <c:pt idx="0">
                      <c:v>Finland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{CD75366B-CF4E-46D7-A3C2-DD3DCF0BA2D2}</c15:txfldGUID>
                      <c15:f>[1]iScatter!$B$79</c15:f>
                      <c15:dlblFieldTableCache>
                        <c:ptCount val="1"/>
                        <c:pt idx="0">
                          <c:v>Finland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AF42-4C38-A21F-8CD90938FFFC}"/>
                </c:ext>
              </c:extLst>
            </c:dLbl>
            <c:dLbl>
              <c:idx val="61"/>
              <c:tx>
                <c:strRef>
                  <c:f>[1]iScatter!$B$80</c:f>
                  <c:strCache>
                    <c:ptCount val="1"/>
                    <c:pt idx="0">
                      <c:v>France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{9379261A-2F39-417F-A1C9-4D046BFF8C5B}</c15:txfldGUID>
                      <c15:f>[1]iScatter!$B$80</c15:f>
                      <c15:dlblFieldTableCache>
                        <c:ptCount val="1"/>
                        <c:pt idx="0">
                          <c:v>France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AF42-4C38-A21F-8CD90938FFFC}"/>
                </c:ext>
              </c:extLst>
            </c:dLbl>
            <c:dLbl>
              <c:idx val="62"/>
              <c:tx>
                <c:strRef>
                  <c:f>[1]iScatter!$B$81</c:f>
                  <c:strCache>
                    <c:ptCount val="1"/>
                    <c:pt idx="0">
                      <c:v>Gabon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{BF23CD01-AA5E-4236-A487-926A5F3CF47B}</c15:txfldGUID>
                      <c15:f>[1]iScatter!$B$81</c15:f>
                      <c15:dlblFieldTableCache>
                        <c:ptCount val="1"/>
                        <c:pt idx="0">
                          <c:v>Gabon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AF42-4C38-A21F-8CD90938FFFC}"/>
                </c:ext>
              </c:extLst>
            </c:dLbl>
            <c:dLbl>
              <c:idx val="63"/>
              <c:tx>
                <c:strRef>
                  <c:f>[1]iScatter!$B$82</c:f>
                  <c:strCache>
                    <c:ptCount val="1"/>
                    <c:pt idx="0">
                      <c:v>Gambia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{E0AE9040-CA5E-4444-BF49-8936FCDB9DBE}</c15:txfldGUID>
                      <c15:f>[1]iScatter!$B$82</c15:f>
                      <c15:dlblFieldTableCache>
                        <c:ptCount val="1"/>
                        <c:pt idx="0">
                          <c:v>Gambia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AF42-4C38-A21F-8CD90938FFFC}"/>
                </c:ext>
              </c:extLst>
            </c:dLbl>
            <c:dLbl>
              <c:idx val="64"/>
              <c:tx>
                <c:strRef>
                  <c:f>[1]iScatter!$B$83</c:f>
                  <c:strCache>
                    <c:ptCount val="1"/>
                    <c:pt idx="0">
                      <c:v>Georgia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{CCDE0A5E-4663-4A6E-8613-E1775BAF1313}</c15:txfldGUID>
                      <c15:f>[1]iScatter!$B$83</c15:f>
                      <c15:dlblFieldTableCache>
                        <c:ptCount val="1"/>
                        <c:pt idx="0">
                          <c:v>Georgia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AF42-4C38-A21F-8CD90938FFFC}"/>
                </c:ext>
              </c:extLst>
            </c:dLbl>
            <c:dLbl>
              <c:idx val="65"/>
              <c:tx>
                <c:strRef>
                  <c:f>[1]iScatter!$B$84</c:f>
                  <c:strCache>
                    <c:ptCount val="1"/>
                    <c:pt idx="0">
                      <c:v>Germany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{ECA710D0-9072-4FCE-883C-AD7859B4C721}</c15:txfldGUID>
                      <c15:f>[1]iScatter!$B$84</c15:f>
                      <c15:dlblFieldTableCache>
                        <c:ptCount val="1"/>
                        <c:pt idx="0">
                          <c:v>Germany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AF42-4C38-A21F-8CD90938FFFC}"/>
                </c:ext>
              </c:extLst>
            </c:dLbl>
            <c:dLbl>
              <c:idx val="66"/>
              <c:tx>
                <c:strRef>
                  <c:f>[1]iScatter!$B$85</c:f>
                  <c:strCache>
                    <c:ptCount val="1"/>
                    <c:pt idx="0">
                      <c:v>Ghana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{325E29DB-086F-43D6-8A98-522CA6942C31}</c15:txfldGUID>
                      <c15:f>[1]iScatter!$B$85</c15:f>
                      <c15:dlblFieldTableCache>
                        <c:ptCount val="1"/>
                        <c:pt idx="0">
                          <c:v>Ghana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AF42-4C38-A21F-8CD90938FFFC}"/>
                </c:ext>
              </c:extLst>
            </c:dLbl>
            <c:dLbl>
              <c:idx val="67"/>
              <c:tx>
                <c:strRef>
                  <c:f>[1]iScatter!$B$86</c:f>
                  <c:strCache>
                    <c:ptCount val="1"/>
                    <c:pt idx="0">
                      <c:v>Greece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{AE642D8B-4A32-47B6-9662-F7F5569EEB5A}</c15:txfldGUID>
                      <c15:f>[1]iScatter!$B$86</c15:f>
                      <c15:dlblFieldTableCache>
                        <c:ptCount val="1"/>
                        <c:pt idx="0">
                          <c:v>Greece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AF42-4C38-A21F-8CD90938FFFC}"/>
                </c:ext>
              </c:extLst>
            </c:dLbl>
            <c:dLbl>
              <c:idx val="68"/>
              <c:tx>
                <c:strRef>
                  <c:f>[1]iScatter!$B$87</c:f>
                  <c:strCache>
                    <c:ptCount val="1"/>
                    <c:pt idx="0">
                      <c:v>Grenada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{07AAB64D-A661-4596-82B6-547CD7CE3DA2}</c15:txfldGUID>
                      <c15:f>[1]iScatter!$B$87</c15:f>
                      <c15:dlblFieldTableCache>
                        <c:ptCount val="1"/>
                        <c:pt idx="0">
                          <c:v>Grenada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AF42-4C38-A21F-8CD90938FFFC}"/>
                </c:ext>
              </c:extLst>
            </c:dLbl>
            <c:dLbl>
              <c:idx val="69"/>
              <c:tx>
                <c:strRef>
                  <c:f>[1]iScatter!$B$88</c:f>
                  <c:strCache>
                    <c:ptCount val="1"/>
                    <c:pt idx="0">
                      <c:v>Guatemala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{1712CA9A-AE5C-4850-99DB-67CC25F22522}</c15:txfldGUID>
                      <c15:f>[1]iScatter!$B$88</c15:f>
                      <c15:dlblFieldTableCache>
                        <c:ptCount val="1"/>
                        <c:pt idx="0">
                          <c:v>Guatemala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AF42-4C38-A21F-8CD90938FFFC}"/>
                </c:ext>
              </c:extLst>
            </c:dLbl>
            <c:dLbl>
              <c:idx val="70"/>
              <c:tx>
                <c:strRef>
                  <c:f>[1]iScatter!$B$89</c:f>
                  <c:strCache>
                    <c:ptCount val="1"/>
                    <c:pt idx="0">
                      <c:v>Guinea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{AF54D4E2-36FA-4132-8532-C63710A1EA68}</c15:txfldGUID>
                      <c15:f>[1]iScatter!$B$89</c15:f>
                      <c15:dlblFieldTableCache>
                        <c:ptCount val="1"/>
                        <c:pt idx="0">
                          <c:v>Guinea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AF42-4C38-A21F-8CD90938FFFC}"/>
                </c:ext>
              </c:extLst>
            </c:dLbl>
            <c:dLbl>
              <c:idx val="71"/>
              <c:tx>
                <c:strRef>
                  <c:f>[1]iScatter!$B$90</c:f>
                  <c:strCache>
                    <c:ptCount val="1"/>
                    <c:pt idx="0">
                      <c:v>Guinea-Bissau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{2A340390-A6D5-4FEE-BF37-F0510D900ECF}</c15:txfldGUID>
                      <c15:f>[1]iScatter!$B$90</c15:f>
                      <c15:dlblFieldTableCache>
                        <c:ptCount val="1"/>
                        <c:pt idx="0">
                          <c:v>Guinea-Bissau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AF42-4C38-A21F-8CD90938FFFC}"/>
                </c:ext>
              </c:extLst>
            </c:dLbl>
            <c:dLbl>
              <c:idx val="72"/>
              <c:tx>
                <c:strRef>
                  <c:f>[1]iScatter!$B$91</c:f>
                  <c:strCache>
                    <c:ptCount val="1"/>
                    <c:pt idx="0">
                      <c:v>Guyana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{56AE392A-1D78-4CAA-A10D-EC8FC2D6E7EB}</c15:txfldGUID>
                      <c15:f>[1]iScatter!$B$91</c15:f>
                      <c15:dlblFieldTableCache>
                        <c:ptCount val="1"/>
                        <c:pt idx="0">
                          <c:v>Guyana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AF42-4C38-A21F-8CD90938FFFC}"/>
                </c:ext>
              </c:extLst>
            </c:dLbl>
            <c:dLbl>
              <c:idx val="73"/>
              <c:tx>
                <c:strRef>
                  <c:f>[1]iScatter!$B$92</c:f>
                  <c:strCache>
                    <c:ptCount val="1"/>
                    <c:pt idx="0">
                      <c:v>Haiti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{32B03823-84E7-4584-8FE2-8C846D365020}</c15:txfldGUID>
                      <c15:f>[1]iScatter!$B$92</c15:f>
                      <c15:dlblFieldTableCache>
                        <c:ptCount val="1"/>
                        <c:pt idx="0">
                          <c:v>Haiti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AF42-4C38-A21F-8CD90938FFFC}"/>
                </c:ext>
              </c:extLst>
            </c:dLbl>
            <c:dLbl>
              <c:idx val="74"/>
              <c:tx>
                <c:strRef>
                  <c:f>[1]iScatter!$B$93</c:f>
                  <c:strCache>
                    <c:ptCount val="1"/>
                    <c:pt idx="0">
                      <c:v>Honduras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{421504E3-6A67-4917-86D2-A243268CF765}</c15:txfldGUID>
                      <c15:f>[1]iScatter!$B$93</c15:f>
                      <c15:dlblFieldTableCache>
                        <c:ptCount val="1"/>
                        <c:pt idx="0">
                          <c:v>Honduras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AF42-4C38-A21F-8CD90938FFFC}"/>
                </c:ext>
              </c:extLst>
            </c:dLbl>
            <c:dLbl>
              <c:idx val="75"/>
              <c:tx>
                <c:strRef>
                  <c:f>[1]iScatter!$B$94</c:f>
                  <c:strCache>
                    <c:ptCount val="1"/>
                    <c:pt idx="0">
                      <c:v>Hungary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{FD2F13F1-8D6F-4A1C-8F38-C902F45F573C}</c15:txfldGUID>
                      <c15:f>[1]iScatter!$B$94</c15:f>
                      <c15:dlblFieldTableCache>
                        <c:ptCount val="1"/>
                        <c:pt idx="0">
                          <c:v>Hungary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AF42-4C38-A21F-8CD90938FFFC}"/>
                </c:ext>
              </c:extLst>
            </c:dLbl>
            <c:dLbl>
              <c:idx val="76"/>
              <c:tx>
                <c:strRef>
                  <c:f>[1]iScatter!$B$95</c:f>
                  <c:strCache>
                    <c:ptCount val="1"/>
                    <c:pt idx="0">
                      <c:v>Iceland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{0D11B6BE-5999-4A27-B944-8AC38DDD9A08}</c15:txfldGUID>
                      <c15:f>[1]iScatter!$B$95</c15:f>
                      <c15:dlblFieldTableCache>
                        <c:ptCount val="1"/>
                        <c:pt idx="0">
                          <c:v>Iceland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AF42-4C38-A21F-8CD90938FFFC}"/>
                </c:ext>
              </c:extLst>
            </c:dLbl>
            <c:dLbl>
              <c:idx val="77"/>
              <c:tx>
                <c:strRef>
                  <c:f>[1]iScatter!$B$96</c:f>
                  <c:strCache>
                    <c:ptCount val="1"/>
                    <c:pt idx="0">
                      <c:v>India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{BE1DD797-FFD6-45AC-A500-29D4E4E8CFC2}</c15:txfldGUID>
                      <c15:f>[1]iScatter!$B$96</c15:f>
                      <c15:dlblFieldTableCache>
                        <c:ptCount val="1"/>
                        <c:pt idx="0">
                          <c:v>India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AF42-4C38-A21F-8CD90938FFFC}"/>
                </c:ext>
              </c:extLst>
            </c:dLbl>
            <c:dLbl>
              <c:idx val="78"/>
              <c:tx>
                <c:strRef>
                  <c:f>[1]iScatter!$B$97</c:f>
                  <c:strCache>
                    <c:ptCount val="1"/>
                    <c:pt idx="0">
                      <c:v>Indonesia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{78D319A1-AC48-4249-A583-8847D940A64D}</c15:txfldGUID>
                      <c15:f>[1]iScatter!$B$97</c15:f>
                      <c15:dlblFieldTableCache>
                        <c:ptCount val="1"/>
                        <c:pt idx="0">
                          <c:v>Indonesia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AF42-4C38-A21F-8CD90938FFFC}"/>
                </c:ext>
              </c:extLst>
            </c:dLbl>
            <c:dLbl>
              <c:idx val="79"/>
              <c:tx>
                <c:strRef>
                  <c:f>[1]iScatter!$B$98</c:f>
                  <c:strCache>
                    <c:ptCount val="1"/>
                    <c:pt idx="0">
                      <c:v>Iran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{1FAE3869-502E-4627-85B9-869045AC6704}</c15:txfldGUID>
                      <c15:f>[1]iScatter!$B$98</c15:f>
                      <c15:dlblFieldTableCache>
                        <c:ptCount val="1"/>
                        <c:pt idx="0">
                          <c:v>Iran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AF42-4C38-A21F-8CD90938FFFC}"/>
                </c:ext>
              </c:extLst>
            </c:dLbl>
            <c:dLbl>
              <c:idx val="80"/>
              <c:tx>
                <c:strRef>
                  <c:f>[1]iScatter!$B$99</c:f>
                  <c:strCache>
                    <c:ptCount val="1"/>
                    <c:pt idx="0">
                      <c:v>Iraq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{1E9A0F95-0533-46CF-A49E-8935427FAEAB}</c15:txfldGUID>
                      <c15:f>[1]iScatter!$B$99</c15:f>
                      <c15:dlblFieldTableCache>
                        <c:ptCount val="1"/>
                        <c:pt idx="0">
                          <c:v>Iraq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AF42-4C38-A21F-8CD90938FFFC}"/>
                </c:ext>
              </c:extLst>
            </c:dLbl>
            <c:dLbl>
              <c:idx val="81"/>
              <c:tx>
                <c:strRef>
                  <c:f>[1]iScatter!$B$100</c:f>
                  <c:strCache>
                    <c:ptCount val="1"/>
                    <c:pt idx="0">
                      <c:v>Ireland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{912D8AF2-EF66-482B-857F-6779CE29CC0E}</c15:txfldGUID>
                      <c15:f>[1]iScatter!$B$100</c15:f>
                      <c15:dlblFieldTableCache>
                        <c:ptCount val="1"/>
                        <c:pt idx="0">
                          <c:v>Ireland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AF42-4C38-A21F-8CD90938FFFC}"/>
                </c:ext>
              </c:extLst>
            </c:dLbl>
            <c:dLbl>
              <c:idx val="82"/>
              <c:tx>
                <c:strRef>
                  <c:f>[1]iScatter!$B$101</c:f>
                  <c:strCache>
                    <c:ptCount val="1"/>
                    <c:pt idx="0">
                      <c:v>Israel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{586A8E81-735A-45EB-931D-0DF8CFBF0F95}</c15:txfldGUID>
                      <c15:f>[1]iScatter!$B$101</c15:f>
                      <c15:dlblFieldTableCache>
                        <c:ptCount val="1"/>
                        <c:pt idx="0">
                          <c:v>Israel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AF42-4C38-A21F-8CD90938FFFC}"/>
                </c:ext>
              </c:extLst>
            </c:dLbl>
            <c:dLbl>
              <c:idx val="83"/>
              <c:tx>
                <c:strRef>
                  <c:f>[1]iScatter!$B$102</c:f>
                  <c:strCache>
                    <c:ptCount val="1"/>
                    <c:pt idx="0">
                      <c:v>Italy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{04EBF0F9-A814-4DAB-BEAE-89302AF25801}</c15:txfldGUID>
                      <c15:f>[1]iScatter!$B$102</c15:f>
                      <c15:dlblFieldTableCache>
                        <c:ptCount val="1"/>
                        <c:pt idx="0">
                          <c:v>Italy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AF42-4C38-A21F-8CD90938FFFC}"/>
                </c:ext>
              </c:extLst>
            </c:dLbl>
            <c:dLbl>
              <c:idx val="84"/>
              <c:tx>
                <c:strRef>
                  <c:f>[1]iScatter!$B$103</c:f>
                  <c:strCache>
                    <c:ptCount val="1"/>
                    <c:pt idx="0">
                      <c:v>Jamaica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{1E037CFC-77EB-4D5F-9F68-F404EC3FC1E1}</c15:txfldGUID>
                      <c15:f>[1]iScatter!$B$103</c15:f>
                      <c15:dlblFieldTableCache>
                        <c:ptCount val="1"/>
                        <c:pt idx="0">
                          <c:v>Jamaica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F-AF42-4C38-A21F-8CD90938FFFC}"/>
                </c:ext>
              </c:extLst>
            </c:dLbl>
            <c:dLbl>
              <c:idx val="85"/>
              <c:tx>
                <c:strRef>
                  <c:f>[1]iScatter!$B$104</c:f>
                  <c:strCache>
                    <c:ptCount val="1"/>
                    <c:pt idx="0">
                      <c:v>Japan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{3CECE1E1-9397-4538-9D32-D8EDF563677D}</c15:txfldGUID>
                      <c15:f>[1]iScatter!$B$104</c15:f>
                      <c15:dlblFieldTableCache>
                        <c:ptCount val="1"/>
                        <c:pt idx="0">
                          <c:v>Japan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AF42-4C38-A21F-8CD90938FFFC}"/>
                </c:ext>
              </c:extLst>
            </c:dLbl>
            <c:dLbl>
              <c:idx val="86"/>
              <c:tx>
                <c:strRef>
                  <c:f>[1]iScatter!$B$105</c:f>
                  <c:strCache>
                    <c:ptCount val="1"/>
                    <c:pt idx="0">
                      <c:v>Jordan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{1B0794AC-F070-485B-BA23-C78F2EDE1AF2}</c15:txfldGUID>
                      <c15:f>[1]iScatter!$B$105</c15:f>
                      <c15:dlblFieldTableCache>
                        <c:ptCount val="1"/>
                        <c:pt idx="0">
                          <c:v>Jordan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AF42-4C38-A21F-8CD90938FFFC}"/>
                </c:ext>
              </c:extLst>
            </c:dLbl>
            <c:dLbl>
              <c:idx val="87"/>
              <c:tx>
                <c:strRef>
                  <c:f>[1]iScatter!$B$106</c:f>
                  <c:strCache>
                    <c:ptCount val="1"/>
                    <c:pt idx="0">
                      <c:v>Kazakhstan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{0113C669-53EA-4100-9CBA-6754BE5BA4AE}</c15:txfldGUID>
                      <c15:f>[1]iScatter!$B$106</c15:f>
                      <c15:dlblFieldTableCache>
                        <c:ptCount val="1"/>
                        <c:pt idx="0">
                          <c:v>Kazakhstan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AF42-4C38-A21F-8CD90938FFFC}"/>
                </c:ext>
              </c:extLst>
            </c:dLbl>
            <c:dLbl>
              <c:idx val="88"/>
              <c:tx>
                <c:strRef>
                  <c:f>[1]iScatter!$B$107</c:f>
                  <c:strCache>
                    <c:ptCount val="1"/>
                    <c:pt idx="0">
                      <c:v>Kenya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{1FEC1422-371B-466A-A93C-58C911ECD735}</c15:txfldGUID>
                      <c15:f>[1]iScatter!$B$107</c15:f>
                      <c15:dlblFieldTableCache>
                        <c:ptCount val="1"/>
                        <c:pt idx="0">
                          <c:v>Kenya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AF42-4C38-A21F-8CD90938FFFC}"/>
                </c:ext>
              </c:extLst>
            </c:dLbl>
            <c:dLbl>
              <c:idx val="89"/>
              <c:tx>
                <c:strRef>
                  <c:f>[1]iScatter!$B$108</c:f>
                  <c:strCache>
                    <c:ptCount val="1"/>
                    <c:pt idx="0">
                      <c:v>Kiribati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{4A317C0E-0416-4EED-9BD9-648ED2B4610D}</c15:txfldGUID>
                      <c15:f>[1]iScatter!$B$108</c15:f>
                      <c15:dlblFieldTableCache>
                        <c:ptCount val="1"/>
                        <c:pt idx="0">
                          <c:v>Kiribati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AF42-4C38-A21F-8CD90938FFFC}"/>
                </c:ext>
              </c:extLst>
            </c:dLbl>
            <c:dLbl>
              <c:idx val="90"/>
              <c:tx>
                <c:strRef>
                  <c:f>[1]iScatter!$B$109</c:f>
                  <c:strCache>
                    <c:ptCount val="1"/>
                    <c:pt idx="0">
                      <c:v>Kuwait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{925AA64F-0613-4822-A52D-335BB5123C3E}</c15:txfldGUID>
                      <c15:f>[1]iScatter!$B$109</c15:f>
                      <c15:dlblFieldTableCache>
                        <c:ptCount val="1"/>
                        <c:pt idx="0">
                          <c:v>Kuwait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AF42-4C38-A21F-8CD90938FFFC}"/>
                </c:ext>
              </c:extLst>
            </c:dLbl>
            <c:dLbl>
              <c:idx val="91"/>
              <c:tx>
                <c:strRef>
                  <c:f>[1]iScatter!$B$110</c:f>
                  <c:strCache>
                    <c:ptCount val="1"/>
                    <c:pt idx="0">
                      <c:v>Kyrgyz Republic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{2B6DA5F1-E494-44F4-84BD-B5F5E0ACF2AA}</c15:txfldGUID>
                      <c15:f>[1]iScatter!$B$110</c15:f>
                      <c15:dlblFieldTableCache>
                        <c:ptCount val="1"/>
                        <c:pt idx="0">
                          <c:v>Kyrgyz Republic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AF42-4C38-A21F-8CD90938FFFC}"/>
                </c:ext>
              </c:extLst>
            </c:dLbl>
            <c:dLbl>
              <c:idx val="92"/>
              <c:tx>
                <c:strRef>
                  <c:f>[1]iScatter!$B$111</c:f>
                  <c:strCache>
                    <c:ptCount val="1"/>
                    <c:pt idx="0">
                      <c:v>Laos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{07B2AC44-FCA2-444C-83ED-516F8A020A5E}</c15:txfldGUID>
                      <c15:f>[1]iScatter!$B$111</c15:f>
                      <c15:dlblFieldTableCache>
                        <c:ptCount val="1"/>
                        <c:pt idx="0">
                          <c:v>Laos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AF42-4C38-A21F-8CD90938FFFC}"/>
                </c:ext>
              </c:extLst>
            </c:dLbl>
            <c:dLbl>
              <c:idx val="93"/>
              <c:tx>
                <c:strRef>
                  <c:f>[1]iScatter!$B$112</c:f>
                  <c:strCache>
                    <c:ptCount val="1"/>
                    <c:pt idx="0">
                      <c:v>Latvia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{73CD6E4D-6999-4EA1-9B2D-B14FC58F5AF0}</c15:txfldGUID>
                      <c15:f>[1]iScatter!$B$112</c15:f>
                      <c15:dlblFieldTableCache>
                        <c:ptCount val="1"/>
                        <c:pt idx="0">
                          <c:v>Latvia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AF42-4C38-A21F-8CD90938FFFC}"/>
                </c:ext>
              </c:extLst>
            </c:dLbl>
            <c:dLbl>
              <c:idx val="94"/>
              <c:tx>
                <c:strRef>
                  <c:f>[1]iScatter!$B$113</c:f>
                  <c:strCache>
                    <c:ptCount val="1"/>
                    <c:pt idx="0">
                      <c:v>Lebanon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{74873CA5-59C5-4718-A9C9-3677E7AA2FA8}</c15:txfldGUID>
                      <c15:f>[1]iScatter!$B$113</c15:f>
                      <c15:dlblFieldTableCache>
                        <c:ptCount val="1"/>
                        <c:pt idx="0">
                          <c:v>Lebanon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AF42-4C38-A21F-8CD90938FFFC}"/>
                </c:ext>
              </c:extLst>
            </c:dLbl>
            <c:dLbl>
              <c:idx val="95"/>
              <c:tx>
                <c:strRef>
                  <c:f>[1]iScatter!$B$114</c:f>
                  <c:strCache>
                    <c:ptCount val="1"/>
                    <c:pt idx="0">
                      <c:v>Lesotho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{9E154384-3BAE-49B4-8FC8-6329D3CFD82D}</c15:txfldGUID>
                      <c15:f>[1]iScatter!$B$114</c15:f>
                      <c15:dlblFieldTableCache>
                        <c:ptCount val="1"/>
                        <c:pt idx="0">
                          <c:v>Lesotho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AF42-4C38-A21F-8CD90938FFFC}"/>
                </c:ext>
              </c:extLst>
            </c:dLbl>
            <c:dLbl>
              <c:idx val="96"/>
              <c:tx>
                <c:strRef>
                  <c:f>[1]iScatter!$B$115</c:f>
                  <c:strCache>
                    <c:ptCount val="1"/>
                    <c:pt idx="0">
                      <c:v>Liberia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{1B1CC7DD-D627-4168-A9A4-F0EAF8520398}</c15:txfldGUID>
                      <c15:f>[1]iScatter!$B$115</c15:f>
                      <c15:dlblFieldTableCache>
                        <c:ptCount val="1"/>
                        <c:pt idx="0">
                          <c:v>Liberia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AF42-4C38-A21F-8CD90938FFFC}"/>
                </c:ext>
              </c:extLst>
            </c:dLbl>
            <c:dLbl>
              <c:idx val="97"/>
              <c:tx>
                <c:strRef>
                  <c:f>[1]iScatter!$B$116</c:f>
                  <c:strCache>
                    <c:ptCount val="1"/>
                    <c:pt idx="0">
                      <c:v>Libya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{E6A2C818-223D-4F87-8499-83A92AC60BDD}</c15:txfldGUID>
                      <c15:f>[1]iScatter!$B$116</c15:f>
                      <c15:dlblFieldTableCache>
                        <c:ptCount val="1"/>
                        <c:pt idx="0">
                          <c:v>Libya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AF42-4C38-A21F-8CD90938FFFC}"/>
                </c:ext>
              </c:extLst>
            </c:dLbl>
            <c:dLbl>
              <c:idx val="98"/>
              <c:tx>
                <c:strRef>
                  <c:f>[1]iScatter!$B$117</c:f>
                  <c:strCache>
                    <c:ptCount val="1"/>
                    <c:pt idx="0">
                      <c:v>Liechtenstein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{D868F4A2-F8B7-43CE-9F90-29538A82653A}</c15:txfldGUID>
                      <c15:f>[1]iScatter!$B$117</c15:f>
                      <c15:dlblFieldTableCache>
                        <c:ptCount val="1"/>
                        <c:pt idx="0">
                          <c:v>Liechtenstein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AF42-4C38-A21F-8CD90938FFFC}"/>
                </c:ext>
              </c:extLst>
            </c:dLbl>
            <c:dLbl>
              <c:idx val="99"/>
              <c:tx>
                <c:strRef>
                  <c:f>[1]iScatter!$B$118</c:f>
                  <c:strCache>
                    <c:ptCount val="1"/>
                    <c:pt idx="0">
                      <c:v>Lithuania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{528C54AE-F93F-478A-BAEB-E850C987F0DE}</c15:txfldGUID>
                      <c15:f>[1]iScatter!$B$118</c15:f>
                      <c15:dlblFieldTableCache>
                        <c:ptCount val="1"/>
                        <c:pt idx="0">
                          <c:v>Lithuania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AF42-4C38-A21F-8CD90938FFFC}"/>
                </c:ext>
              </c:extLst>
            </c:dLbl>
            <c:dLbl>
              <c:idx val="100"/>
              <c:tx>
                <c:strRef>
                  <c:f>[1]iScatter!$B$119</c:f>
                  <c:strCache>
                    <c:ptCount val="1"/>
                    <c:pt idx="0">
                      <c:v>Luxembourg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{A0807259-DCFD-4447-8966-12CB2A8FC542}</c15:txfldGUID>
                      <c15:f>[1]iScatter!$B$119</c15:f>
                      <c15:dlblFieldTableCache>
                        <c:ptCount val="1"/>
                        <c:pt idx="0">
                          <c:v>Luxembourg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AF42-4C38-A21F-8CD90938FFFC}"/>
                </c:ext>
              </c:extLst>
            </c:dLbl>
            <c:dLbl>
              <c:idx val="101"/>
              <c:tx>
                <c:strRef>
                  <c:f>[1]iScatter!$B$120</c:f>
                  <c:strCache>
                    <c:ptCount val="1"/>
                    <c:pt idx="0">
                      <c:v>Madagascar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{4C8D4E9C-DF16-4EB9-88CF-6CA2CAC1FA3C}</c15:txfldGUID>
                      <c15:f>[1]iScatter!$B$120</c15:f>
                      <c15:dlblFieldTableCache>
                        <c:ptCount val="1"/>
                        <c:pt idx="0">
                          <c:v>Madagascar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AF42-4C38-A21F-8CD90938FFFC}"/>
                </c:ext>
              </c:extLst>
            </c:dLbl>
            <c:dLbl>
              <c:idx val="102"/>
              <c:tx>
                <c:strRef>
                  <c:f>[1]iScatter!$B$121</c:f>
                  <c:strCache>
                    <c:ptCount val="1"/>
                    <c:pt idx="0">
                      <c:v>Malawi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{49F3447C-9ABC-4076-B382-000C1A68D5BD}</c15:txfldGUID>
                      <c15:f>[1]iScatter!$B$121</c15:f>
                      <c15:dlblFieldTableCache>
                        <c:ptCount val="1"/>
                        <c:pt idx="0">
                          <c:v>Malawi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AF42-4C38-A21F-8CD90938FFFC}"/>
                </c:ext>
              </c:extLst>
            </c:dLbl>
            <c:dLbl>
              <c:idx val="103"/>
              <c:tx>
                <c:strRef>
                  <c:f>[1]iScatter!$B$122</c:f>
                  <c:strCache>
                    <c:ptCount val="1"/>
                    <c:pt idx="0">
                      <c:v>Malaysia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{F8B760F9-C00A-4AC8-89DC-B04D16C1257B}</c15:txfldGUID>
                      <c15:f>[1]iScatter!$B$122</c15:f>
                      <c15:dlblFieldTableCache>
                        <c:ptCount val="1"/>
                        <c:pt idx="0">
                          <c:v>Malaysia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AF42-4C38-A21F-8CD90938FFFC}"/>
                </c:ext>
              </c:extLst>
            </c:dLbl>
            <c:dLbl>
              <c:idx val="104"/>
              <c:tx>
                <c:strRef>
                  <c:f>[1]iScatter!$B$123</c:f>
                  <c:strCache>
                    <c:ptCount val="1"/>
                    <c:pt idx="0">
                      <c:v>Maldives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{830B03EE-90A2-4BA7-A815-F70112E480EB}</c15:txfldGUID>
                      <c15:f>[1]iScatter!$B$123</c15:f>
                      <c15:dlblFieldTableCache>
                        <c:ptCount val="1"/>
                        <c:pt idx="0">
                          <c:v>Maldives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3-AF42-4C38-A21F-8CD90938FFFC}"/>
                </c:ext>
              </c:extLst>
            </c:dLbl>
            <c:dLbl>
              <c:idx val="105"/>
              <c:tx>
                <c:strRef>
                  <c:f>[1]iScatter!$B$124</c:f>
                  <c:strCache>
                    <c:ptCount val="1"/>
                    <c:pt idx="0">
                      <c:v>Mali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{10C3997C-79D6-4072-ABC0-6EA1F63EE73A}</c15:txfldGUID>
                      <c15:f>[1]iScatter!$B$124</c15:f>
                      <c15:dlblFieldTableCache>
                        <c:ptCount val="1"/>
                        <c:pt idx="0">
                          <c:v>Mali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AF42-4C38-A21F-8CD90938FFFC}"/>
                </c:ext>
              </c:extLst>
            </c:dLbl>
            <c:dLbl>
              <c:idx val="106"/>
              <c:tx>
                <c:strRef>
                  <c:f>[1]iScatter!$B$125</c:f>
                  <c:strCache>
                    <c:ptCount val="1"/>
                    <c:pt idx="0">
                      <c:v>Malta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{20A4451F-93D5-43B9-B46F-5E34D57079D0}</c15:txfldGUID>
                      <c15:f>[1]iScatter!$B$125</c15:f>
                      <c15:dlblFieldTableCache>
                        <c:ptCount val="1"/>
                        <c:pt idx="0">
                          <c:v>Malta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AF42-4C38-A21F-8CD90938FFFC}"/>
                </c:ext>
              </c:extLst>
            </c:dLbl>
            <c:dLbl>
              <c:idx val="107"/>
              <c:tx>
                <c:strRef>
                  <c:f>[1]iScatter!$B$126</c:f>
                  <c:strCache>
                    <c:ptCount val="1"/>
                    <c:pt idx="0">
                      <c:v>Marshall Islands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{F43E3812-EF08-4CEB-9DFA-73F113BA1387}</c15:txfldGUID>
                      <c15:f>[1]iScatter!$B$126</c15:f>
                      <c15:dlblFieldTableCache>
                        <c:ptCount val="1"/>
                        <c:pt idx="0">
                          <c:v>Marshall Islands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AF42-4C38-A21F-8CD90938FFFC}"/>
                </c:ext>
              </c:extLst>
            </c:dLbl>
            <c:dLbl>
              <c:idx val="108"/>
              <c:tx>
                <c:strRef>
                  <c:f>[1]iScatter!$B$127</c:f>
                  <c:strCache>
                    <c:ptCount val="1"/>
                    <c:pt idx="0">
                      <c:v>Mauritania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{107928A4-BC6F-4C3D-91CB-3E22B8252F81}</c15:txfldGUID>
                      <c15:f>[1]iScatter!$B$127</c15:f>
                      <c15:dlblFieldTableCache>
                        <c:ptCount val="1"/>
                        <c:pt idx="0">
                          <c:v>Mauritania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AF42-4C38-A21F-8CD90938FFFC}"/>
                </c:ext>
              </c:extLst>
            </c:dLbl>
            <c:dLbl>
              <c:idx val="109"/>
              <c:tx>
                <c:strRef>
                  <c:f>[1]iScatter!$B$128</c:f>
                  <c:strCache>
                    <c:ptCount val="1"/>
                    <c:pt idx="0">
                      <c:v>Mauritius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{0573685D-6537-42BB-B8B4-E8E7C5E9C5A6}</c15:txfldGUID>
                      <c15:f>[1]iScatter!$B$128</c15:f>
                      <c15:dlblFieldTableCache>
                        <c:ptCount val="1"/>
                        <c:pt idx="0">
                          <c:v>Mauritius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AF42-4C38-A21F-8CD90938FFFC}"/>
                </c:ext>
              </c:extLst>
            </c:dLbl>
            <c:dLbl>
              <c:idx val="110"/>
              <c:tx>
                <c:strRef>
                  <c:f>[1]iScatter!$B$129</c:f>
                  <c:strCache>
                    <c:ptCount val="1"/>
                    <c:pt idx="0">
                      <c:v>Mexico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{603CE0FE-0C85-493C-9714-EA1B021B0FA1}</c15:txfldGUID>
                      <c15:f>[1]iScatter!$B$129</c15:f>
                      <c15:dlblFieldTableCache>
                        <c:ptCount val="1"/>
                        <c:pt idx="0">
                          <c:v>Mexico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AF42-4C38-A21F-8CD90938FFFC}"/>
                </c:ext>
              </c:extLst>
            </c:dLbl>
            <c:dLbl>
              <c:idx val="111"/>
              <c:tx>
                <c:strRef>
                  <c:f>[1]iScatter!$B$130</c:f>
                  <c:strCache>
                    <c:ptCount val="1"/>
                    <c:pt idx="0">
                      <c:v>Micronesia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{7A226172-3D06-458C-B2DB-AC42405040D4}</c15:txfldGUID>
                      <c15:f>[1]iScatter!$B$130</c15:f>
                      <c15:dlblFieldTableCache>
                        <c:ptCount val="1"/>
                        <c:pt idx="0">
                          <c:v>Micronesia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AF42-4C38-A21F-8CD90938FFFC}"/>
                </c:ext>
              </c:extLst>
            </c:dLbl>
            <c:dLbl>
              <c:idx val="112"/>
              <c:tx>
                <c:strRef>
                  <c:f>[1]iScatter!$B$131</c:f>
                  <c:strCache>
                    <c:ptCount val="1"/>
                    <c:pt idx="0">
                      <c:v>Moldova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{AE63D6AC-1537-44D7-A0C9-A0AA0064618E}</c15:txfldGUID>
                      <c15:f>[1]iScatter!$B$131</c15:f>
                      <c15:dlblFieldTableCache>
                        <c:ptCount val="1"/>
                        <c:pt idx="0">
                          <c:v>Moldova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AF42-4C38-A21F-8CD90938FFFC}"/>
                </c:ext>
              </c:extLst>
            </c:dLbl>
            <c:dLbl>
              <c:idx val="113"/>
              <c:tx>
                <c:strRef>
                  <c:f>[1]iScatter!$B$132</c:f>
                  <c:strCache>
                    <c:ptCount val="1"/>
                    <c:pt idx="0">
                      <c:v>Monaco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{02DFEA70-B74D-4CCB-9075-6736E179E05C}</c15:txfldGUID>
                      <c15:f>[1]iScatter!$B$132</c15:f>
                      <c15:dlblFieldTableCache>
                        <c:ptCount val="1"/>
                        <c:pt idx="0">
                          <c:v>Monaco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AF42-4C38-A21F-8CD90938FFFC}"/>
                </c:ext>
              </c:extLst>
            </c:dLbl>
            <c:dLbl>
              <c:idx val="114"/>
              <c:tx>
                <c:strRef>
                  <c:f>[1]iScatter!$B$133</c:f>
                  <c:strCache>
                    <c:ptCount val="1"/>
                    <c:pt idx="0">
                      <c:v>Mongolia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{991C4CE4-ADE4-4A51-A506-90B0F16207B1}</c15:txfldGUID>
                      <c15:f>[1]iScatter!$B$133</c15:f>
                      <c15:dlblFieldTableCache>
                        <c:ptCount val="1"/>
                        <c:pt idx="0">
                          <c:v>Mongolia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AF42-4C38-A21F-8CD90938FFFC}"/>
                </c:ext>
              </c:extLst>
            </c:dLbl>
            <c:dLbl>
              <c:idx val="115"/>
              <c:tx>
                <c:strRef>
                  <c:f>[1]iScatter!$B$134</c:f>
                  <c:strCache>
                    <c:ptCount val="1"/>
                    <c:pt idx="0">
                      <c:v>Montenegro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{5372AFDA-FD3B-4192-A56A-38BF4ADD6AE6}</c15:txfldGUID>
                      <c15:f>[1]iScatter!$B$134</c15:f>
                      <c15:dlblFieldTableCache>
                        <c:ptCount val="1"/>
                        <c:pt idx="0">
                          <c:v>Montenegro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AF42-4C38-A21F-8CD90938FFFC}"/>
                </c:ext>
              </c:extLst>
            </c:dLbl>
            <c:dLbl>
              <c:idx val="116"/>
              <c:tx>
                <c:strRef>
                  <c:f>[1]iScatter!$B$135</c:f>
                  <c:strCache>
                    <c:ptCount val="1"/>
                    <c:pt idx="0">
                      <c:v>Morocco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{E5DB8BB1-5784-4389-9CDB-25ED49A7B2A0}</c15:txfldGUID>
                      <c15:f>[1]iScatter!$B$135</c15:f>
                      <c15:dlblFieldTableCache>
                        <c:ptCount val="1"/>
                        <c:pt idx="0">
                          <c:v>Morocco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AF42-4C38-A21F-8CD90938FFFC}"/>
                </c:ext>
              </c:extLst>
            </c:dLbl>
            <c:dLbl>
              <c:idx val="117"/>
              <c:tx>
                <c:strRef>
                  <c:f>[1]iScatter!$B$136</c:f>
                  <c:strCache>
                    <c:ptCount val="1"/>
                    <c:pt idx="0">
                      <c:v>Mozambique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{99004521-268C-44C5-A2ED-BD4B2879BD31}</c15:txfldGUID>
                      <c15:f>[1]iScatter!$B$136</c15:f>
                      <c15:dlblFieldTableCache>
                        <c:ptCount val="1"/>
                        <c:pt idx="0">
                          <c:v>Mozambique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AF42-4C38-A21F-8CD90938FFFC}"/>
                </c:ext>
              </c:extLst>
            </c:dLbl>
            <c:dLbl>
              <c:idx val="118"/>
              <c:tx>
                <c:strRef>
                  <c:f>[1]iScatter!$B$137</c:f>
                  <c:strCache>
                    <c:ptCount val="1"/>
                    <c:pt idx="0">
                      <c:v>Myanmar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{4EF077B0-024F-4CD5-A60B-201FBE3909DC}</c15:txfldGUID>
                      <c15:f>[1]iScatter!$B$137</c15:f>
                      <c15:dlblFieldTableCache>
                        <c:ptCount val="1"/>
                        <c:pt idx="0">
                          <c:v>Myanmar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AF42-4C38-A21F-8CD90938FFFC}"/>
                </c:ext>
              </c:extLst>
            </c:dLbl>
            <c:dLbl>
              <c:idx val="119"/>
              <c:tx>
                <c:strRef>
                  <c:f>[1]iScatter!$B$138</c:f>
                  <c:strCache>
                    <c:ptCount val="1"/>
                    <c:pt idx="0">
                      <c:v>Namibia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{25CEBCF2-265A-43C7-A689-A4D064563ED4}</c15:txfldGUID>
                      <c15:f>[1]iScatter!$B$138</c15:f>
                      <c15:dlblFieldTableCache>
                        <c:ptCount val="1"/>
                        <c:pt idx="0">
                          <c:v>Namibia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AF42-4C38-A21F-8CD90938FFFC}"/>
                </c:ext>
              </c:extLst>
            </c:dLbl>
            <c:dLbl>
              <c:idx val="120"/>
              <c:tx>
                <c:strRef>
                  <c:f>[1]iScatter!$B$139</c:f>
                  <c:strCache>
                    <c:ptCount val="1"/>
                    <c:pt idx="0">
                      <c:v>Nauru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{D52286BC-0CC7-430D-A495-0CB84CA5E8EC}</c15:txfldGUID>
                      <c15:f>[1]iScatter!$B$139</c15:f>
                      <c15:dlblFieldTableCache>
                        <c:ptCount val="1"/>
                        <c:pt idx="0">
                          <c:v>Nauru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AF42-4C38-A21F-8CD90938FFFC}"/>
                </c:ext>
              </c:extLst>
            </c:dLbl>
            <c:dLbl>
              <c:idx val="121"/>
              <c:tx>
                <c:strRef>
                  <c:f>[1]iScatter!$B$140</c:f>
                  <c:strCache>
                    <c:ptCount val="1"/>
                    <c:pt idx="0">
                      <c:v>Nepal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{391CD0F5-4626-410C-BC6C-2C56A95CBDB8}</c15:txfldGUID>
                      <c15:f>[1]iScatter!$B$140</c15:f>
                      <c15:dlblFieldTableCache>
                        <c:ptCount val="1"/>
                        <c:pt idx="0">
                          <c:v>Nepal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AF42-4C38-A21F-8CD90938FFFC}"/>
                </c:ext>
              </c:extLst>
            </c:dLbl>
            <c:dLbl>
              <c:idx val="122"/>
              <c:tx>
                <c:strRef>
                  <c:f>[1]iScatter!$B$141</c:f>
                  <c:strCache>
                    <c:ptCount val="1"/>
                    <c:pt idx="0">
                      <c:v>Netherlands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{0084E45E-37D2-4B67-B9AD-BAA9E563A01F}</c15:txfldGUID>
                      <c15:f>[1]iScatter!$B$141</c15:f>
                      <c15:dlblFieldTableCache>
                        <c:ptCount val="1"/>
                        <c:pt idx="0">
                          <c:v>Netherlands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AF42-4C38-A21F-8CD90938FFFC}"/>
                </c:ext>
              </c:extLst>
            </c:dLbl>
            <c:dLbl>
              <c:idx val="123"/>
              <c:tx>
                <c:strRef>
                  <c:f>[1]iScatter!$B$142</c:f>
                  <c:strCache>
                    <c:ptCount val="1"/>
                    <c:pt idx="0">
                      <c:v>New Zealand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{CCEBE654-8C91-4A9E-AD87-55210E506C67}</c15:txfldGUID>
                      <c15:f>[1]iScatter!$B$142</c15:f>
                      <c15:dlblFieldTableCache>
                        <c:ptCount val="1"/>
                        <c:pt idx="0">
                          <c:v>New Zealand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AF42-4C38-A21F-8CD90938FFFC}"/>
                </c:ext>
              </c:extLst>
            </c:dLbl>
            <c:dLbl>
              <c:idx val="124"/>
              <c:tx>
                <c:strRef>
                  <c:f>[1]iScatter!$B$143</c:f>
                  <c:strCache>
                    <c:ptCount val="1"/>
                    <c:pt idx="0">
                      <c:v>Nicaragua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{E0F7AB1B-E17A-46E3-B600-CC8463F131F0}</c15:txfldGUID>
                      <c15:f>[1]iScatter!$B$143</c15:f>
                      <c15:dlblFieldTableCache>
                        <c:ptCount val="1"/>
                        <c:pt idx="0">
                          <c:v>Nicaragua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AF42-4C38-A21F-8CD90938FFFC}"/>
                </c:ext>
              </c:extLst>
            </c:dLbl>
            <c:dLbl>
              <c:idx val="125"/>
              <c:tx>
                <c:strRef>
                  <c:f>[1]iScatter!$B$144</c:f>
                  <c:strCache>
                    <c:ptCount val="1"/>
                    <c:pt idx="0">
                      <c:v>Niger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{5ED3EE98-C753-4F33-A5C9-1A1693279580}</c15:txfldGUID>
                      <c15:f>[1]iScatter!$B$144</c15:f>
                      <c15:dlblFieldTableCache>
                        <c:ptCount val="1"/>
                        <c:pt idx="0">
                          <c:v>Niger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AF42-4C38-A21F-8CD90938FFFC}"/>
                </c:ext>
              </c:extLst>
            </c:dLbl>
            <c:dLbl>
              <c:idx val="126"/>
              <c:tx>
                <c:strRef>
                  <c:f>[1]iScatter!$B$145</c:f>
                  <c:strCache>
                    <c:ptCount val="1"/>
                    <c:pt idx="0">
                      <c:v>Nigeria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{C63ED484-A882-4F3B-ADF5-446007EEA032}</c15:txfldGUID>
                      <c15:f>[1]iScatter!$B$145</c15:f>
                      <c15:dlblFieldTableCache>
                        <c:ptCount val="1"/>
                        <c:pt idx="0">
                          <c:v>Nigeria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AF42-4C38-A21F-8CD90938FFFC}"/>
                </c:ext>
              </c:extLst>
            </c:dLbl>
            <c:dLbl>
              <c:idx val="127"/>
              <c:tx>
                <c:strRef>
                  <c:f>[1]iScatter!$B$146</c:f>
                  <c:strCache>
                    <c:ptCount val="1"/>
                    <c:pt idx="0">
                      <c:v>Niue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{221C9A3C-04D9-49B8-84AD-2235D64592AE}</c15:txfldGUID>
                      <c15:f>[1]iScatter!$B$146</c15:f>
                      <c15:dlblFieldTableCache>
                        <c:ptCount val="1"/>
                        <c:pt idx="0">
                          <c:v>Niue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AF42-4C38-A21F-8CD90938FFFC}"/>
                </c:ext>
              </c:extLst>
            </c:dLbl>
            <c:dLbl>
              <c:idx val="128"/>
              <c:tx>
                <c:strRef>
                  <c:f>[1]iScatter!$B$147</c:f>
                  <c:strCache>
                    <c:ptCount val="1"/>
                    <c:pt idx="0">
                      <c:v>North Korea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{0E084367-7ACF-487C-A823-5FE813AF3EE3}</c15:txfldGUID>
                      <c15:f>[1]iScatter!$B$147</c15:f>
                      <c15:dlblFieldTableCache>
                        <c:ptCount val="1"/>
                        <c:pt idx="0">
                          <c:v>North Korea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AF42-4C38-A21F-8CD90938FFFC}"/>
                </c:ext>
              </c:extLst>
            </c:dLbl>
            <c:dLbl>
              <c:idx val="129"/>
              <c:tx>
                <c:strRef>
                  <c:f>[1]iScatter!$B$148</c:f>
                  <c:strCache>
                    <c:ptCount val="1"/>
                    <c:pt idx="0">
                      <c:v>North Macedonia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{4EF53E10-70E3-4477-AD8C-4781FB89E37C}</c15:txfldGUID>
                      <c15:f>[1]iScatter!$B$148</c15:f>
                      <c15:dlblFieldTableCache>
                        <c:ptCount val="1"/>
                        <c:pt idx="0">
                          <c:v>North Macedonia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AF42-4C38-A21F-8CD90938FFFC}"/>
                </c:ext>
              </c:extLst>
            </c:dLbl>
            <c:dLbl>
              <c:idx val="130"/>
              <c:tx>
                <c:strRef>
                  <c:f>[1]iScatter!$B$149</c:f>
                  <c:strCache>
                    <c:ptCount val="1"/>
                    <c:pt idx="0">
                      <c:v>Norway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{7DE69CD7-4251-4EAA-8ABF-FA15B9B824ED}</c15:txfldGUID>
                      <c15:f>[1]iScatter!$B$149</c15:f>
                      <c15:dlblFieldTableCache>
                        <c:ptCount val="1"/>
                        <c:pt idx="0">
                          <c:v>Norway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AF42-4C38-A21F-8CD90938FFFC}"/>
                </c:ext>
              </c:extLst>
            </c:dLbl>
            <c:dLbl>
              <c:idx val="131"/>
              <c:tx>
                <c:strRef>
                  <c:f>[1]iScatter!$B$150</c:f>
                  <c:strCache>
                    <c:ptCount val="1"/>
                    <c:pt idx="0">
                      <c:v>Oman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{92B403BB-2B6C-41AA-A451-ACA707A2771E}</c15:txfldGUID>
                      <c15:f>[1]iScatter!$B$150</c15:f>
                      <c15:dlblFieldTableCache>
                        <c:ptCount val="1"/>
                        <c:pt idx="0">
                          <c:v>Oman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AF42-4C38-A21F-8CD90938FFFC}"/>
                </c:ext>
              </c:extLst>
            </c:dLbl>
            <c:dLbl>
              <c:idx val="132"/>
              <c:tx>
                <c:strRef>
                  <c:f>[1]iScatter!$B$151</c:f>
                  <c:strCache>
                    <c:ptCount val="1"/>
                    <c:pt idx="0">
                      <c:v>Pakistan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{A72490B0-51B2-41E3-A3F6-4F6E612BA07F}</c15:txfldGUID>
                      <c15:f>[1]iScatter!$B$151</c15:f>
                      <c15:dlblFieldTableCache>
                        <c:ptCount val="1"/>
                        <c:pt idx="0">
                          <c:v>Pakistan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AF42-4C38-A21F-8CD90938FFFC}"/>
                </c:ext>
              </c:extLst>
            </c:dLbl>
            <c:dLbl>
              <c:idx val="133"/>
              <c:tx>
                <c:strRef>
                  <c:f>[1]iScatter!$B$152</c:f>
                  <c:strCache>
                    <c:ptCount val="1"/>
                    <c:pt idx="0">
                      <c:v>Palau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{066849D2-AF65-473D-8BB1-951E36852308}</c15:txfldGUID>
                      <c15:f>[1]iScatter!$B$152</c15:f>
                      <c15:dlblFieldTableCache>
                        <c:ptCount val="1"/>
                        <c:pt idx="0">
                          <c:v>Palau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0-AF42-4C38-A21F-8CD90938FFFC}"/>
                </c:ext>
              </c:extLst>
            </c:dLbl>
            <c:dLbl>
              <c:idx val="134"/>
              <c:tx>
                <c:strRef>
                  <c:f>[1]iScatter!$B$153</c:f>
                  <c:strCache>
                    <c:ptCount val="1"/>
                    <c:pt idx="0">
                      <c:v>Panama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{A9AAD05D-1233-4A93-8BD6-903689727617}</c15:txfldGUID>
                      <c15:f>[1]iScatter!$B$153</c15:f>
                      <c15:dlblFieldTableCache>
                        <c:ptCount val="1"/>
                        <c:pt idx="0">
                          <c:v>Panama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1-AF42-4C38-A21F-8CD90938FFFC}"/>
                </c:ext>
              </c:extLst>
            </c:dLbl>
            <c:dLbl>
              <c:idx val="135"/>
              <c:tx>
                <c:strRef>
                  <c:f>[1]iScatter!$B$154</c:f>
                  <c:strCache>
                    <c:ptCount val="1"/>
                    <c:pt idx="0">
                      <c:v>Papua New Guinea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{DA427D42-E68F-4943-867E-A1C2F2AD6627}</c15:txfldGUID>
                      <c15:f>[1]iScatter!$B$154</c15:f>
                      <c15:dlblFieldTableCache>
                        <c:ptCount val="1"/>
                        <c:pt idx="0">
                          <c:v>Papua New Guinea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AF42-4C38-A21F-8CD90938FFFC}"/>
                </c:ext>
              </c:extLst>
            </c:dLbl>
            <c:dLbl>
              <c:idx val="136"/>
              <c:tx>
                <c:strRef>
                  <c:f>[1]iScatter!$B$155</c:f>
                  <c:strCache>
                    <c:ptCount val="1"/>
                    <c:pt idx="0">
                      <c:v>Paraguay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{8A802A01-EBC5-4881-A30B-C4F3EB4EAA56}</c15:txfldGUID>
                      <c15:f>[1]iScatter!$B$155</c15:f>
                      <c15:dlblFieldTableCache>
                        <c:ptCount val="1"/>
                        <c:pt idx="0">
                          <c:v>Paraguay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AF42-4C38-A21F-8CD90938FFFC}"/>
                </c:ext>
              </c:extLst>
            </c:dLbl>
            <c:dLbl>
              <c:idx val="137"/>
              <c:tx>
                <c:strRef>
                  <c:f>[1]iScatter!$B$156</c:f>
                  <c:strCache>
                    <c:ptCount val="1"/>
                    <c:pt idx="0">
                      <c:v>Peru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{FED49463-5F5F-4A4E-8295-77E86ED26CB8}</c15:txfldGUID>
                      <c15:f>[1]iScatter!$B$156</c15:f>
                      <c15:dlblFieldTableCache>
                        <c:ptCount val="1"/>
                        <c:pt idx="0">
                          <c:v>Peru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AF42-4C38-A21F-8CD90938FFFC}"/>
                </c:ext>
              </c:extLst>
            </c:dLbl>
            <c:dLbl>
              <c:idx val="138"/>
              <c:tx>
                <c:strRef>
                  <c:f>[1]iScatter!$B$157</c:f>
                  <c:strCache>
                    <c:ptCount val="1"/>
                    <c:pt idx="0">
                      <c:v>Philippines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{FFCBB3CE-527C-4A63-99B3-7E4DBB1BA273}</c15:txfldGUID>
                      <c15:f>[1]iScatter!$B$157</c15:f>
                      <c15:dlblFieldTableCache>
                        <c:ptCount val="1"/>
                        <c:pt idx="0">
                          <c:v>Philippines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AF42-4C38-A21F-8CD90938FFFC}"/>
                </c:ext>
              </c:extLst>
            </c:dLbl>
            <c:dLbl>
              <c:idx val="139"/>
              <c:tx>
                <c:strRef>
                  <c:f>[1]iScatter!$B$158</c:f>
                  <c:strCache>
                    <c:ptCount val="1"/>
                    <c:pt idx="0">
                      <c:v>Poland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{2C3FEDAA-7DAC-4F6E-9065-55105306BBAC}</c15:txfldGUID>
                      <c15:f>[1]iScatter!$B$158</c15:f>
                      <c15:dlblFieldTableCache>
                        <c:ptCount val="1"/>
                        <c:pt idx="0">
                          <c:v>Poland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AF42-4C38-A21F-8CD90938FFFC}"/>
                </c:ext>
              </c:extLst>
            </c:dLbl>
            <c:dLbl>
              <c:idx val="140"/>
              <c:tx>
                <c:strRef>
                  <c:f>[1]iScatter!$B$159</c:f>
                  <c:strCache>
                    <c:ptCount val="1"/>
                    <c:pt idx="0">
                      <c:v>Portugal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{6A97C461-FA39-4331-A142-3B7A735FFC70}</c15:txfldGUID>
                      <c15:f>[1]iScatter!$B$159</c15:f>
                      <c15:dlblFieldTableCache>
                        <c:ptCount val="1"/>
                        <c:pt idx="0">
                          <c:v>Portugal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AF42-4C38-A21F-8CD90938FFFC}"/>
                </c:ext>
              </c:extLst>
            </c:dLbl>
            <c:dLbl>
              <c:idx val="141"/>
              <c:tx>
                <c:strRef>
                  <c:f>[1]iScatter!$B$160</c:f>
                  <c:strCache>
                    <c:ptCount val="1"/>
                    <c:pt idx="0">
                      <c:v>Qatar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{FA81A52B-848A-4E19-9C4E-91C97F659425}</c15:txfldGUID>
                      <c15:f>[1]iScatter!$B$160</c15:f>
                      <c15:dlblFieldTableCache>
                        <c:ptCount val="1"/>
                        <c:pt idx="0">
                          <c:v>Qatar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AF42-4C38-A21F-8CD90938FFFC}"/>
                </c:ext>
              </c:extLst>
            </c:dLbl>
            <c:dLbl>
              <c:idx val="142"/>
              <c:tx>
                <c:strRef>
                  <c:f>[1]iScatter!$B$161</c:f>
                  <c:strCache>
                    <c:ptCount val="1"/>
                    <c:pt idx="0">
                      <c:v>Romania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{20CB167F-055F-425C-A238-95EF770EE4AF}</c15:txfldGUID>
                      <c15:f>[1]iScatter!$B$161</c15:f>
                      <c15:dlblFieldTableCache>
                        <c:ptCount val="1"/>
                        <c:pt idx="0">
                          <c:v>Romania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AF42-4C38-A21F-8CD90938FFFC}"/>
                </c:ext>
              </c:extLst>
            </c:dLbl>
            <c:dLbl>
              <c:idx val="143"/>
              <c:tx>
                <c:strRef>
                  <c:f>[1]iScatter!$B$162</c:f>
                  <c:strCache>
                    <c:ptCount val="1"/>
                    <c:pt idx="0">
                      <c:v>Russia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{C4F9955A-6C50-4D8D-BAB7-EEFD7F079352}</c15:txfldGUID>
                      <c15:f>[1]iScatter!$B$162</c15:f>
                      <c15:dlblFieldTableCache>
                        <c:ptCount val="1"/>
                        <c:pt idx="0">
                          <c:v>Russia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AF42-4C38-A21F-8CD90938FFFC}"/>
                </c:ext>
              </c:extLst>
            </c:dLbl>
            <c:dLbl>
              <c:idx val="144"/>
              <c:tx>
                <c:strRef>
                  <c:f>[1]iScatter!$B$163</c:f>
                  <c:strCache>
                    <c:ptCount val="1"/>
                    <c:pt idx="0">
                      <c:v>Rwanda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{C67D9DE0-7E23-4059-BE44-9A906083EE4E}</c15:txfldGUID>
                      <c15:f>[1]iScatter!$B$163</c15:f>
                      <c15:dlblFieldTableCache>
                        <c:ptCount val="1"/>
                        <c:pt idx="0">
                          <c:v>Rwanda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AF42-4C38-A21F-8CD90938FFFC}"/>
                </c:ext>
              </c:extLst>
            </c:dLbl>
            <c:dLbl>
              <c:idx val="145"/>
              <c:tx>
                <c:strRef>
                  <c:f>[1]iScatter!$B$164</c:f>
                  <c:strCache>
                    <c:ptCount val="1"/>
                    <c:pt idx="0">
                      <c:v>Samoa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{2937F1FB-2E11-494E-B176-45CCE4550F48}</c15:txfldGUID>
                      <c15:f>[1]iScatter!$B$164</c15:f>
                      <c15:dlblFieldTableCache>
                        <c:ptCount val="1"/>
                        <c:pt idx="0">
                          <c:v>Samoa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AF42-4C38-A21F-8CD90938FFFC}"/>
                </c:ext>
              </c:extLst>
            </c:dLbl>
            <c:dLbl>
              <c:idx val="146"/>
              <c:tx>
                <c:strRef>
                  <c:f>[1]iScatter!$B$165</c:f>
                  <c:strCache>
                    <c:ptCount val="1"/>
                    <c:pt idx="0">
                      <c:v>San Marino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{E4619D41-0C5A-4BC2-8B89-974D2D38E905}</c15:txfldGUID>
                      <c15:f>[1]iScatter!$B$165</c15:f>
                      <c15:dlblFieldTableCache>
                        <c:ptCount val="1"/>
                        <c:pt idx="0">
                          <c:v>San Marino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AF42-4C38-A21F-8CD90938FFFC}"/>
                </c:ext>
              </c:extLst>
            </c:dLbl>
            <c:dLbl>
              <c:idx val="147"/>
              <c:tx>
                <c:strRef>
                  <c:f>[1]iScatter!$B$166</c:f>
                  <c:strCache>
                    <c:ptCount val="1"/>
                    <c:pt idx="0">
                      <c:v>São Tomé and Príncipe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{9F3FA015-E748-4334-90A6-541292210E86}</c15:txfldGUID>
                      <c15:f>[1]iScatter!$B$166</c15:f>
                      <c15:dlblFieldTableCache>
                        <c:ptCount val="1"/>
                        <c:pt idx="0">
                          <c:v>São Tomé and Príncipe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AF42-4C38-A21F-8CD90938FFFC}"/>
                </c:ext>
              </c:extLst>
            </c:dLbl>
            <c:dLbl>
              <c:idx val="148"/>
              <c:tx>
                <c:strRef>
                  <c:f>[1]iScatter!$B$167</c:f>
                  <c:strCache>
                    <c:ptCount val="1"/>
                    <c:pt idx="0">
                      <c:v>Saudi Arabia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{47892698-009E-4710-B948-9456D1D4BC22}</c15:txfldGUID>
                      <c15:f>[1]iScatter!$B$167</c15:f>
                      <c15:dlblFieldTableCache>
                        <c:ptCount val="1"/>
                        <c:pt idx="0">
                          <c:v>Saudi Arabia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AF42-4C38-A21F-8CD90938FFFC}"/>
                </c:ext>
              </c:extLst>
            </c:dLbl>
            <c:dLbl>
              <c:idx val="149"/>
              <c:tx>
                <c:strRef>
                  <c:f>[1]iScatter!$B$168</c:f>
                  <c:strCache>
                    <c:ptCount val="1"/>
                    <c:pt idx="0">
                      <c:v>Senegal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{CCFB91F1-E492-47BD-8FF1-92DA73D292EA}</c15:txfldGUID>
                      <c15:f>[1]iScatter!$B$168</c15:f>
                      <c15:dlblFieldTableCache>
                        <c:ptCount val="1"/>
                        <c:pt idx="0">
                          <c:v>Senegal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AF42-4C38-A21F-8CD90938FFFC}"/>
                </c:ext>
              </c:extLst>
            </c:dLbl>
            <c:dLbl>
              <c:idx val="150"/>
              <c:tx>
                <c:strRef>
                  <c:f>[1]iScatter!$B$169</c:f>
                  <c:strCache>
                    <c:ptCount val="1"/>
                    <c:pt idx="0">
                      <c:v>Serbia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{FEF43C98-066A-4F3A-BB22-D2E2C3895B15}</c15:txfldGUID>
                      <c15:f>[1]iScatter!$B$169</c15:f>
                      <c15:dlblFieldTableCache>
                        <c:ptCount val="1"/>
                        <c:pt idx="0">
                          <c:v>Serbia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AF42-4C38-A21F-8CD90938FFFC}"/>
                </c:ext>
              </c:extLst>
            </c:dLbl>
            <c:dLbl>
              <c:idx val="151"/>
              <c:tx>
                <c:strRef>
                  <c:f>[1]iScatter!$B$170</c:f>
                  <c:strCache>
                    <c:ptCount val="1"/>
                    <c:pt idx="0">
                      <c:v>Seychelles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{DE03304A-DB10-4122-B2EA-F17182135129}</c15:txfldGUID>
                      <c15:f>[1]iScatter!$B$170</c15:f>
                      <c15:dlblFieldTableCache>
                        <c:ptCount val="1"/>
                        <c:pt idx="0">
                          <c:v>Seychelles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AF42-4C38-A21F-8CD90938FFFC}"/>
                </c:ext>
              </c:extLst>
            </c:dLbl>
            <c:dLbl>
              <c:idx val="152"/>
              <c:tx>
                <c:strRef>
                  <c:f>[1]iScatter!$B$171</c:f>
                  <c:strCache>
                    <c:ptCount val="1"/>
                    <c:pt idx="0">
                      <c:v>Sierra Leone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{B5216E1F-D9EE-4321-9A61-C587F2316500}</c15:txfldGUID>
                      <c15:f>[1]iScatter!$B$171</c15:f>
                      <c15:dlblFieldTableCache>
                        <c:ptCount val="1"/>
                        <c:pt idx="0">
                          <c:v>Sierra Leone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AF42-4C38-A21F-8CD90938FFFC}"/>
                </c:ext>
              </c:extLst>
            </c:dLbl>
            <c:dLbl>
              <c:idx val="153"/>
              <c:tx>
                <c:strRef>
                  <c:f>[1]iScatter!$B$172</c:f>
                  <c:strCache>
                    <c:ptCount val="1"/>
                    <c:pt idx="0">
                      <c:v>Singapore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{5E4A5B9F-7390-4168-A0E8-82F79412643A}</c15:txfldGUID>
                      <c15:f>[1]iScatter!$B$172</c15:f>
                      <c15:dlblFieldTableCache>
                        <c:ptCount val="1"/>
                        <c:pt idx="0">
                          <c:v>Singapore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AF42-4C38-A21F-8CD90938FFFC}"/>
                </c:ext>
              </c:extLst>
            </c:dLbl>
            <c:dLbl>
              <c:idx val="154"/>
              <c:tx>
                <c:strRef>
                  <c:f>[1]iScatter!$B$173</c:f>
                  <c:strCache>
                    <c:ptCount val="1"/>
                    <c:pt idx="0">
                      <c:v>Slovakia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{A5476BB4-F5F3-401E-AE66-8D67D415263F}</c15:txfldGUID>
                      <c15:f>[1]iScatter!$B$173</c15:f>
                      <c15:dlblFieldTableCache>
                        <c:ptCount val="1"/>
                        <c:pt idx="0">
                          <c:v>Slovakia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AF42-4C38-A21F-8CD90938FFFC}"/>
                </c:ext>
              </c:extLst>
            </c:dLbl>
            <c:dLbl>
              <c:idx val="155"/>
              <c:tx>
                <c:strRef>
                  <c:f>[1]iScatter!$B$174</c:f>
                  <c:strCache>
                    <c:ptCount val="1"/>
                    <c:pt idx="0">
                      <c:v>Slovenia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{1DB72011-4192-4A2A-B2C7-F9E9B993ACC7}</c15:txfldGUID>
                      <c15:f>[1]iScatter!$B$174</c15:f>
                      <c15:dlblFieldTableCache>
                        <c:ptCount val="1"/>
                        <c:pt idx="0">
                          <c:v>Slovenia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AF42-4C38-A21F-8CD90938FFFC}"/>
                </c:ext>
              </c:extLst>
            </c:dLbl>
            <c:dLbl>
              <c:idx val="156"/>
              <c:tx>
                <c:strRef>
                  <c:f>[1]iScatter!$B$175</c:f>
                  <c:strCache>
                    <c:ptCount val="1"/>
                    <c:pt idx="0">
                      <c:v>Solomon Islands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{AF46C4CD-A153-47DC-95E3-6EE7E4EBEB86}</c15:txfldGUID>
                      <c15:f>[1]iScatter!$B$175</c15:f>
                      <c15:dlblFieldTableCache>
                        <c:ptCount val="1"/>
                        <c:pt idx="0">
                          <c:v>Solomon Islands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AF42-4C38-A21F-8CD90938FFFC}"/>
                </c:ext>
              </c:extLst>
            </c:dLbl>
            <c:dLbl>
              <c:idx val="157"/>
              <c:tx>
                <c:strRef>
                  <c:f>[1]iScatter!$B$176</c:f>
                  <c:strCache>
                    <c:ptCount val="1"/>
                    <c:pt idx="0">
                      <c:v>Somalia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{3E36E9DA-A143-4BCA-B3C3-EAE10C62A2E8}</c15:txfldGUID>
                      <c15:f>[1]iScatter!$B$176</c15:f>
                      <c15:dlblFieldTableCache>
                        <c:ptCount val="1"/>
                        <c:pt idx="0">
                          <c:v>Somalia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AF42-4C38-A21F-8CD90938FFFC}"/>
                </c:ext>
              </c:extLst>
            </c:dLbl>
            <c:dLbl>
              <c:idx val="158"/>
              <c:tx>
                <c:strRef>
                  <c:f>[1]iScatter!$B$177</c:f>
                  <c:strCache>
                    <c:ptCount val="1"/>
                    <c:pt idx="0">
                      <c:v>South Africa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{9DE00AFC-32EC-4943-B6A4-44CEA8A8110F}</c15:txfldGUID>
                      <c15:f>[1]iScatter!$B$177</c15:f>
                      <c15:dlblFieldTableCache>
                        <c:ptCount val="1"/>
                        <c:pt idx="0">
                          <c:v>South Africa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AF42-4C38-A21F-8CD90938FFFC}"/>
                </c:ext>
              </c:extLst>
            </c:dLbl>
            <c:dLbl>
              <c:idx val="159"/>
              <c:tx>
                <c:strRef>
                  <c:f>[1]iScatter!$B$178</c:f>
                  <c:strCache>
                    <c:ptCount val="1"/>
                    <c:pt idx="0">
                      <c:v>South Korea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{FCBBB379-615F-45F7-B981-CFD3700ADE89}</c15:txfldGUID>
                      <c15:f>[1]iScatter!$B$178</c15:f>
                      <c15:dlblFieldTableCache>
                        <c:ptCount val="1"/>
                        <c:pt idx="0">
                          <c:v>South Korea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AF42-4C38-A21F-8CD90938FFFC}"/>
                </c:ext>
              </c:extLst>
            </c:dLbl>
            <c:dLbl>
              <c:idx val="160"/>
              <c:tx>
                <c:strRef>
                  <c:f>[1]iScatter!$B$179</c:f>
                  <c:strCache>
                    <c:ptCount val="1"/>
                    <c:pt idx="0">
                      <c:v>South Sudan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{06DDAEEE-8358-4E70-850E-C0FBAFAD1C19}</c15:txfldGUID>
                      <c15:f>[1]iScatter!$B$179</c15:f>
                      <c15:dlblFieldTableCache>
                        <c:ptCount val="1"/>
                        <c:pt idx="0">
                          <c:v>South Sudan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AF42-4C38-A21F-8CD90938FFFC}"/>
                </c:ext>
              </c:extLst>
            </c:dLbl>
            <c:dLbl>
              <c:idx val="161"/>
              <c:tx>
                <c:strRef>
                  <c:f>[1]iScatter!$B$180</c:f>
                  <c:strCache>
                    <c:ptCount val="1"/>
                    <c:pt idx="0">
                      <c:v>Spain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{55C296FC-044A-4E60-95C8-FC20BB7341B0}</c15:txfldGUID>
                      <c15:f>[1]iScatter!$B$180</c15:f>
                      <c15:dlblFieldTableCache>
                        <c:ptCount val="1"/>
                        <c:pt idx="0">
                          <c:v>Spain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AF42-4C38-A21F-8CD90938FFFC}"/>
                </c:ext>
              </c:extLst>
            </c:dLbl>
            <c:dLbl>
              <c:idx val="162"/>
              <c:tx>
                <c:strRef>
                  <c:f>[1]iScatter!$B$181</c:f>
                  <c:strCache>
                    <c:ptCount val="1"/>
                    <c:pt idx="0">
                      <c:v>Sri Lanka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{C4A12107-28B4-4A18-BC26-BBF5F8FA6E81}</c15:txfldGUID>
                      <c15:f>[1]iScatter!$B$181</c15:f>
                      <c15:dlblFieldTableCache>
                        <c:ptCount val="1"/>
                        <c:pt idx="0">
                          <c:v>Sri Lanka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D-AF42-4C38-A21F-8CD90938FFFC}"/>
                </c:ext>
              </c:extLst>
            </c:dLbl>
            <c:dLbl>
              <c:idx val="163"/>
              <c:tx>
                <c:strRef>
                  <c:f>[1]iScatter!$B$182</c:f>
                  <c:strCache>
                    <c:ptCount val="1"/>
                    <c:pt idx="0">
                      <c:v>St Kitts and Nevis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{1C1269C3-9BD5-4375-ABC6-C075C6A13C92}</c15:txfldGUID>
                      <c15:f>[1]iScatter!$B$182</c15:f>
                      <c15:dlblFieldTableCache>
                        <c:ptCount val="1"/>
                        <c:pt idx="0">
                          <c:v>St Kitts and Nevis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E-AF42-4C38-A21F-8CD90938FFFC}"/>
                </c:ext>
              </c:extLst>
            </c:dLbl>
            <c:dLbl>
              <c:idx val="164"/>
              <c:tx>
                <c:strRef>
                  <c:f>[1]iScatter!$B$183</c:f>
                  <c:strCache>
                    <c:ptCount val="1"/>
                    <c:pt idx="0">
                      <c:v>St Lucia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{8F4463EF-9B03-471B-A8C4-416016B107B0}</c15:txfldGUID>
                      <c15:f>[1]iScatter!$B$183</c15:f>
                      <c15:dlblFieldTableCache>
                        <c:ptCount val="1"/>
                        <c:pt idx="0">
                          <c:v>St Lucia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AF42-4C38-A21F-8CD90938FFFC}"/>
                </c:ext>
              </c:extLst>
            </c:dLbl>
            <c:dLbl>
              <c:idx val="165"/>
              <c:tx>
                <c:strRef>
                  <c:f>[1]iScatter!$B$184</c:f>
                  <c:strCache>
                    <c:ptCount val="1"/>
                    <c:pt idx="0">
                      <c:v>St Vincent and The Grenadines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{2A44C75A-EC43-449F-ACEE-4ACE89978E15}</c15:txfldGUID>
                      <c15:f>[1]iScatter!$B$184</c15:f>
                      <c15:dlblFieldTableCache>
                        <c:ptCount val="1"/>
                        <c:pt idx="0">
                          <c:v>St Vincent and The Grenadines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AF42-4C38-A21F-8CD90938FFFC}"/>
                </c:ext>
              </c:extLst>
            </c:dLbl>
            <c:dLbl>
              <c:idx val="166"/>
              <c:tx>
                <c:strRef>
                  <c:f>[1]iScatter!$B$185</c:f>
                  <c:strCache>
                    <c:ptCount val="1"/>
                    <c:pt idx="0">
                      <c:v>Sudan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{70B0BCA6-8312-4B1F-AFCC-E1C519000088}</c15:txfldGUID>
                      <c15:f>[1]iScatter!$B$185</c15:f>
                      <c15:dlblFieldTableCache>
                        <c:ptCount val="1"/>
                        <c:pt idx="0">
                          <c:v>Sudan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AF42-4C38-A21F-8CD90938FFFC}"/>
                </c:ext>
              </c:extLst>
            </c:dLbl>
            <c:dLbl>
              <c:idx val="167"/>
              <c:tx>
                <c:strRef>
                  <c:f>[1]iScatter!$B$186</c:f>
                  <c:strCache>
                    <c:ptCount val="1"/>
                    <c:pt idx="0">
                      <c:v>Suriname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{3647FEEF-7FDE-4100-AE69-2F8F11E3B628}</c15:txfldGUID>
                      <c15:f>[1]iScatter!$B$186</c15:f>
                      <c15:dlblFieldTableCache>
                        <c:ptCount val="1"/>
                        <c:pt idx="0">
                          <c:v>Suriname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2-AF42-4C38-A21F-8CD90938FFFC}"/>
                </c:ext>
              </c:extLst>
            </c:dLbl>
            <c:dLbl>
              <c:idx val="168"/>
              <c:tx>
                <c:strRef>
                  <c:f>[1]iScatter!$B$187</c:f>
                  <c:strCache>
                    <c:ptCount val="1"/>
                    <c:pt idx="0">
                      <c:v>Sweden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{EB5E6AF5-0475-4F07-B30D-65B1A7180AC8}</c15:txfldGUID>
                      <c15:f>[1]iScatter!$B$187</c15:f>
                      <c15:dlblFieldTableCache>
                        <c:ptCount val="1"/>
                        <c:pt idx="0">
                          <c:v>Sweden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AF42-4C38-A21F-8CD90938FFFC}"/>
                </c:ext>
              </c:extLst>
            </c:dLbl>
            <c:dLbl>
              <c:idx val="169"/>
              <c:tx>
                <c:strRef>
                  <c:f>[1]iScatter!$B$188</c:f>
                  <c:strCache>
                    <c:ptCount val="1"/>
                    <c:pt idx="0">
                      <c:v>Switzerland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{CD9403CB-8026-4866-9A4E-AA78D224DA29}</c15:txfldGUID>
                      <c15:f>[1]iScatter!$B$188</c15:f>
                      <c15:dlblFieldTableCache>
                        <c:ptCount val="1"/>
                        <c:pt idx="0">
                          <c:v>Switzerland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AF42-4C38-A21F-8CD90938FFFC}"/>
                </c:ext>
              </c:extLst>
            </c:dLbl>
            <c:dLbl>
              <c:idx val="170"/>
              <c:tx>
                <c:strRef>
                  <c:f>[1]iScatter!$B$189</c:f>
                  <c:strCache>
                    <c:ptCount val="1"/>
                    <c:pt idx="0">
                      <c:v>Syria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{221DD4FC-C9B8-4CD5-845F-CE47492EAB20}</c15:txfldGUID>
                      <c15:f>[1]iScatter!$B$189</c15:f>
                      <c15:dlblFieldTableCache>
                        <c:ptCount val="1"/>
                        <c:pt idx="0">
                          <c:v>Syria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AF42-4C38-A21F-8CD90938FFFC}"/>
                </c:ext>
              </c:extLst>
            </c:dLbl>
            <c:dLbl>
              <c:idx val="171"/>
              <c:tx>
                <c:strRef>
                  <c:f>[1]iScatter!$B$190</c:f>
                  <c:strCache>
                    <c:ptCount val="1"/>
                    <c:pt idx="0">
                      <c:v>Tajikistan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{C3493DDF-E1E9-4433-B510-5F2785D48869}</c15:txfldGUID>
                      <c15:f>[1]iScatter!$B$190</c15:f>
                      <c15:dlblFieldTableCache>
                        <c:ptCount val="1"/>
                        <c:pt idx="0">
                          <c:v>Tajikistan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AF42-4C38-A21F-8CD90938FFFC}"/>
                </c:ext>
              </c:extLst>
            </c:dLbl>
            <c:dLbl>
              <c:idx val="172"/>
              <c:tx>
                <c:strRef>
                  <c:f>[1]iScatter!$B$191</c:f>
                  <c:strCache>
                    <c:ptCount val="1"/>
                    <c:pt idx="0">
                      <c:v>Tanzania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{5F26565E-B0F7-4AB2-A08E-03951C22777B}</c15:txfldGUID>
                      <c15:f>[1]iScatter!$B$191</c15:f>
                      <c15:dlblFieldTableCache>
                        <c:ptCount val="1"/>
                        <c:pt idx="0">
                          <c:v>Tanzania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AF42-4C38-A21F-8CD90938FFFC}"/>
                </c:ext>
              </c:extLst>
            </c:dLbl>
            <c:dLbl>
              <c:idx val="173"/>
              <c:tx>
                <c:strRef>
                  <c:f>[1]iScatter!$B$192</c:f>
                  <c:strCache>
                    <c:ptCount val="1"/>
                    <c:pt idx="0">
                      <c:v>Thailand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{D3DF63E7-861C-4B4B-9CFD-947873C09F6A}</c15:txfldGUID>
                      <c15:f>[1]iScatter!$B$192</c15:f>
                      <c15:dlblFieldTableCache>
                        <c:ptCount val="1"/>
                        <c:pt idx="0">
                          <c:v>Thailand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AF42-4C38-A21F-8CD90938FFFC}"/>
                </c:ext>
              </c:extLst>
            </c:dLbl>
            <c:dLbl>
              <c:idx val="174"/>
              <c:tx>
                <c:strRef>
                  <c:f>[1]iScatter!$B$193</c:f>
                  <c:strCache>
                    <c:ptCount val="1"/>
                    <c:pt idx="0">
                      <c:v>Timor-Leste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{447FD433-A842-49C7-9D92-48A1C54D5F8E}</c15:txfldGUID>
                      <c15:f>[1]iScatter!$B$193</c15:f>
                      <c15:dlblFieldTableCache>
                        <c:ptCount val="1"/>
                        <c:pt idx="0">
                          <c:v>Timor-Leste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AF42-4C38-A21F-8CD90938FFFC}"/>
                </c:ext>
              </c:extLst>
            </c:dLbl>
            <c:dLbl>
              <c:idx val="175"/>
              <c:tx>
                <c:strRef>
                  <c:f>[1]iScatter!$B$194</c:f>
                  <c:strCache>
                    <c:ptCount val="1"/>
                    <c:pt idx="0">
                      <c:v>Togo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{A86A8C7E-FF8E-4A5F-B213-B253F851E246}</c15:txfldGUID>
                      <c15:f>[1]iScatter!$B$194</c15:f>
                      <c15:dlblFieldTableCache>
                        <c:ptCount val="1"/>
                        <c:pt idx="0">
                          <c:v>Togo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AF42-4C38-A21F-8CD90938FFFC}"/>
                </c:ext>
              </c:extLst>
            </c:dLbl>
            <c:dLbl>
              <c:idx val="176"/>
              <c:tx>
                <c:strRef>
                  <c:f>[1]iScatter!$B$195</c:f>
                  <c:strCache>
                    <c:ptCount val="1"/>
                    <c:pt idx="0">
                      <c:v>Tonga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{B6A73F58-FBBC-41F8-9373-63277848844D}</c15:txfldGUID>
                      <c15:f>[1]iScatter!$B$195</c15:f>
                      <c15:dlblFieldTableCache>
                        <c:ptCount val="1"/>
                        <c:pt idx="0">
                          <c:v>Tonga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AF42-4C38-A21F-8CD90938FFFC}"/>
                </c:ext>
              </c:extLst>
            </c:dLbl>
            <c:dLbl>
              <c:idx val="177"/>
              <c:tx>
                <c:strRef>
                  <c:f>[1]iScatter!$B$196</c:f>
                  <c:strCache>
                    <c:ptCount val="1"/>
                    <c:pt idx="0">
                      <c:v>Trinidad and Tobago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{E6CBC1E3-BFC8-470B-815C-96092447193C}</c15:txfldGUID>
                      <c15:f>[1]iScatter!$B$196</c15:f>
                      <c15:dlblFieldTableCache>
                        <c:ptCount val="1"/>
                        <c:pt idx="0">
                          <c:v>Trinidad and Tobago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AF42-4C38-A21F-8CD90938FFFC}"/>
                </c:ext>
              </c:extLst>
            </c:dLbl>
            <c:dLbl>
              <c:idx val="178"/>
              <c:tx>
                <c:strRef>
                  <c:f>[1]iScatter!$B$197</c:f>
                  <c:strCache>
                    <c:ptCount val="1"/>
                    <c:pt idx="0">
                      <c:v>Tunisia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{23CA24D4-71D5-46F1-AFB3-6966A9A2F47C}</c15:txfldGUID>
                      <c15:f>[1]iScatter!$B$197</c15:f>
                      <c15:dlblFieldTableCache>
                        <c:ptCount val="1"/>
                        <c:pt idx="0">
                          <c:v>Tunisia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AF42-4C38-A21F-8CD90938FFFC}"/>
                </c:ext>
              </c:extLst>
            </c:dLbl>
            <c:dLbl>
              <c:idx val="179"/>
              <c:tx>
                <c:strRef>
                  <c:f>[1]iScatter!$B$198</c:f>
                  <c:strCache>
                    <c:ptCount val="1"/>
                    <c:pt idx="0">
                      <c:v>Turkey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{C64ADA99-6FE5-4A73-8933-E281A7B9AF45}</c15:txfldGUID>
                      <c15:f>[1]iScatter!$B$198</c15:f>
                      <c15:dlblFieldTableCache>
                        <c:ptCount val="1"/>
                        <c:pt idx="0">
                          <c:v>Turkey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AF42-4C38-A21F-8CD90938FFFC}"/>
                </c:ext>
              </c:extLst>
            </c:dLbl>
            <c:dLbl>
              <c:idx val="180"/>
              <c:tx>
                <c:strRef>
                  <c:f>[1]iScatter!$B$199</c:f>
                  <c:strCache>
                    <c:ptCount val="1"/>
                    <c:pt idx="0">
                      <c:v>Turkmenistan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{50B85FE3-A046-444C-B867-838BCEA74166}</c15:txfldGUID>
                      <c15:f>[1]iScatter!$B$199</c15:f>
                      <c15:dlblFieldTableCache>
                        <c:ptCount val="1"/>
                        <c:pt idx="0">
                          <c:v>Turkmenistan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AF42-4C38-A21F-8CD90938FFFC}"/>
                </c:ext>
              </c:extLst>
            </c:dLbl>
            <c:dLbl>
              <c:idx val="181"/>
              <c:tx>
                <c:strRef>
                  <c:f>[1]iScatter!$B$200</c:f>
                  <c:strCache>
                    <c:ptCount val="1"/>
                    <c:pt idx="0">
                      <c:v>Tuvalu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{20198261-27DF-4BB3-B361-DC8C2469EA2F}</c15:txfldGUID>
                      <c15:f>[1]iScatter!$B$200</c15:f>
                      <c15:dlblFieldTableCache>
                        <c:ptCount val="1"/>
                        <c:pt idx="0">
                          <c:v>Tuvalu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AF42-4C38-A21F-8CD90938FFFC}"/>
                </c:ext>
              </c:extLst>
            </c:dLbl>
            <c:dLbl>
              <c:idx val="182"/>
              <c:tx>
                <c:strRef>
                  <c:f>[1]iScatter!$B$201</c:f>
                  <c:strCache>
                    <c:ptCount val="1"/>
                    <c:pt idx="0">
                      <c:v>Uganda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{CEC6C88D-AED4-4D5A-A5BC-4F4E8A18004E}</c15:txfldGUID>
                      <c15:f>[1]iScatter!$B$201</c15:f>
                      <c15:dlblFieldTableCache>
                        <c:ptCount val="1"/>
                        <c:pt idx="0">
                          <c:v>Uganda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AF42-4C38-A21F-8CD90938FFFC}"/>
                </c:ext>
              </c:extLst>
            </c:dLbl>
            <c:dLbl>
              <c:idx val="183"/>
              <c:tx>
                <c:strRef>
                  <c:f>[1]iScatter!$B$202</c:f>
                  <c:strCache>
                    <c:ptCount val="1"/>
                    <c:pt idx="0">
                      <c:v>Ukraine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{21B7D9CE-A705-4B4C-80E3-60E27322F435}</c15:txfldGUID>
                      <c15:f>[1]iScatter!$B$202</c15:f>
                      <c15:dlblFieldTableCache>
                        <c:ptCount val="1"/>
                        <c:pt idx="0">
                          <c:v>Ukraine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AF42-4C38-A21F-8CD90938FFFC}"/>
                </c:ext>
              </c:extLst>
            </c:dLbl>
            <c:dLbl>
              <c:idx val="184"/>
              <c:tx>
                <c:strRef>
                  <c:f>[1]iScatter!$B$203</c:f>
                  <c:strCache>
                    <c:ptCount val="1"/>
                    <c:pt idx="0">
                      <c:v>United Arab Emirates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{68A1FD08-31F7-4078-8F3F-730B60E030D4}</c15:txfldGUID>
                      <c15:f>[1]iScatter!$B$203</c15:f>
                      <c15:dlblFieldTableCache>
                        <c:ptCount val="1"/>
                        <c:pt idx="0">
                          <c:v>United Arab Emirates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AF42-4C38-A21F-8CD90938FFFC}"/>
                </c:ext>
              </c:extLst>
            </c:dLbl>
            <c:dLbl>
              <c:idx val="185"/>
              <c:tx>
                <c:strRef>
                  <c:f>[1]iScatter!$B$204</c:f>
                  <c:strCache>
                    <c:ptCount val="1"/>
                    <c:pt idx="0">
                      <c:v>United Kingdom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{46E7CB82-DEF5-47E7-9973-FEBD261B779B}</c15:txfldGUID>
                      <c15:f>[1]iScatter!$B$204</c15:f>
                      <c15:dlblFieldTableCache>
                        <c:ptCount val="1"/>
                        <c:pt idx="0">
                          <c:v>United Kingdom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AF42-4C38-A21F-8CD90938FFFC}"/>
                </c:ext>
              </c:extLst>
            </c:dLbl>
            <c:dLbl>
              <c:idx val="186"/>
              <c:tx>
                <c:strRef>
                  <c:f>[1]iScatter!$B$205</c:f>
                  <c:strCache>
                    <c:ptCount val="1"/>
                    <c:pt idx="0">
                      <c:v>United States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{AB29837B-995C-4674-A5D4-A9988A32B21C}</c15:txfldGUID>
                      <c15:f>[1]iScatter!$B$205</c15:f>
                      <c15:dlblFieldTableCache>
                        <c:ptCount val="1"/>
                        <c:pt idx="0">
                          <c:v>United States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AF42-4C38-A21F-8CD90938FFFC}"/>
                </c:ext>
              </c:extLst>
            </c:dLbl>
            <c:dLbl>
              <c:idx val="187"/>
              <c:tx>
                <c:strRef>
                  <c:f>[1]iScatter!$B$206</c:f>
                  <c:strCache>
                    <c:ptCount val="1"/>
                    <c:pt idx="0">
                      <c:v>Uruguay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{E8257429-2BC6-42AB-A2AE-D844E55F6F78}</c15:txfldGUID>
                      <c15:f>[1]iScatter!$B$206</c15:f>
                      <c15:dlblFieldTableCache>
                        <c:ptCount val="1"/>
                        <c:pt idx="0">
                          <c:v>Uruguay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6-AF42-4C38-A21F-8CD90938FFFC}"/>
                </c:ext>
              </c:extLst>
            </c:dLbl>
            <c:dLbl>
              <c:idx val="188"/>
              <c:tx>
                <c:strRef>
                  <c:f>[1]iScatter!$B$207</c:f>
                  <c:strCache>
                    <c:ptCount val="1"/>
                    <c:pt idx="0">
                      <c:v>Uzbekistan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{8B085CAB-9F5C-4BBB-9B77-26020D7CA2D4}</c15:txfldGUID>
                      <c15:f>[1]iScatter!$B$207</c15:f>
                      <c15:dlblFieldTableCache>
                        <c:ptCount val="1"/>
                        <c:pt idx="0">
                          <c:v>Uzbekistan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AF42-4C38-A21F-8CD90938FFFC}"/>
                </c:ext>
              </c:extLst>
            </c:dLbl>
            <c:dLbl>
              <c:idx val="189"/>
              <c:tx>
                <c:strRef>
                  <c:f>[1]iScatter!$B$208</c:f>
                  <c:strCache>
                    <c:ptCount val="1"/>
                    <c:pt idx="0">
                      <c:v>Vanuatu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{D0175A73-7867-4E42-AFFC-26F8A0578482}</c15:txfldGUID>
                      <c15:f>[1]iScatter!$B$208</c15:f>
                      <c15:dlblFieldTableCache>
                        <c:ptCount val="1"/>
                        <c:pt idx="0">
                          <c:v>Vanuatu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AF42-4C38-A21F-8CD90938FFFC}"/>
                </c:ext>
              </c:extLst>
            </c:dLbl>
            <c:dLbl>
              <c:idx val="190"/>
              <c:tx>
                <c:strRef>
                  <c:f>[1]iScatter!$B$209</c:f>
                  <c:strCache>
                    <c:ptCount val="1"/>
                    <c:pt idx="0">
                      <c:v>Venezuela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{2CC41CCC-B34C-40E2-BC76-D2B64EA9C25F}</c15:txfldGUID>
                      <c15:f>[1]iScatter!$B$209</c15:f>
                      <c15:dlblFieldTableCache>
                        <c:ptCount val="1"/>
                        <c:pt idx="0">
                          <c:v>Venezuela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AF42-4C38-A21F-8CD90938FFFC}"/>
                </c:ext>
              </c:extLst>
            </c:dLbl>
            <c:dLbl>
              <c:idx val="191"/>
              <c:tx>
                <c:strRef>
                  <c:f>[1]iScatter!$B$210</c:f>
                  <c:strCache>
                    <c:ptCount val="1"/>
                    <c:pt idx="0">
                      <c:v>Vietnam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{2C32AB11-855B-4C23-93BA-5C2C37F09E02}</c15:txfldGUID>
                      <c15:f>[1]iScatter!$B$210</c15:f>
                      <c15:dlblFieldTableCache>
                        <c:ptCount val="1"/>
                        <c:pt idx="0">
                          <c:v>Vietnam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A-AF42-4C38-A21F-8CD90938FFFC}"/>
                </c:ext>
              </c:extLst>
            </c:dLbl>
            <c:dLbl>
              <c:idx val="192"/>
              <c:tx>
                <c:strRef>
                  <c:f>[1]iScatter!$B$211</c:f>
                  <c:strCache>
                    <c:ptCount val="1"/>
                    <c:pt idx="0">
                      <c:v>Yemen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{66E645A8-0EAB-46C7-9D09-162BE22640DA}</c15:txfldGUID>
                      <c15:f>[1]iScatter!$B$211</c15:f>
                      <c15:dlblFieldTableCache>
                        <c:ptCount val="1"/>
                        <c:pt idx="0">
                          <c:v>Yemen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B-AF42-4C38-A21F-8CD90938FFFC}"/>
                </c:ext>
              </c:extLst>
            </c:dLbl>
            <c:dLbl>
              <c:idx val="193"/>
              <c:tx>
                <c:strRef>
                  <c:f>[1]iScatter!$B$212</c:f>
                  <c:strCache>
                    <c:ptCount val="1"/>
                    <c:pt idx="0">
                      <c:v>Zambia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{D68A75C7-1C5D-4794-94CB-E292A7FC4FAB}</c15:txfldGUID>
                      <c15:f>[1]iScatter!$B$212</c15:f>
                      <c15:dlblFieldTableCache>
                        <c:ptCount val="1"/>
                        <c:pt idx="0">
                          <c:v>Zambia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C-AF42-4C38-A21F-8CD90938FFFC}"/>
                </c:ext>
              </c:extLst>
            </c:dLbl>
            <c:dLbl>
              <c:idx val="194"/>
              <c:tx>
                <c:strRef>
                  <c:f>[1]iScatter!$B$213</c:f>
                  <c:strCache>
                    <c:ptCount val="1"/>
                    <c:pt idx="0">
                      <c:v>Zimbabwe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{9BF69F98-840C-4C0D-933A-22DB5A7DF460}</c15:txfldGUID>
                      <c15:f>[1]iScatter!$B$213</c15:f>
                      <c15:dlblFieldTableCache>
                        <c:ptCount val="1"/>
                        <c:pt idx="0">
                          <c:v>Zimbabwe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D-AF42-4C38-A21F-8CD90938FFF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95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</c:numLit>
          </c:xVal>
          <c:yVal>
            <c:numRef>
              <c:f>[1]iScatter!$U$19:$U$213</c:f>
              <c:numCache>
                <c:formatCode>General</c:formatCode>
                <c:ptCount val="1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AF42-4C38-A21F-8CD90938FFFC}"/>
            </c:ext>
          </c:extLst>
        </c:ser>
        <c:ser>
          <c:idx val="4"/>
          <c:order val="3"/>
          <c:tx>
            <c:v>#N/A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1659C"/>
              </a:solidFill>
              <a:ln w="9525">
                <a:noFill/>
              </a:ln>
            </c:spPr>
          </c:marker>
          <c:dLbls>
            <c:dLbl>
              <c:idx val="0"/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31659C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AF42-4C38-A21F-8CD90938FFFC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31659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#N/A</c:v>
              </c:pt>
            </c:numLit>
          </c:xVal>
          <c:yVal>
            <c:numRef>
              <c:f>[1]iScatter!$Q$23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AF42-4C38-A21F-8CD90938FFFC}"/>
            </c:ext>
          </c:extLst>
        </c:ser>
        <c:ser>
          <c:idx val="5"/>
          <c:order val="4"/>
          <c:tx>
            <c:v>#N/A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1659C"/>
              </a:solidFill>
              <a:ln w="9525">
                <a:noFill/>
              </a:ln>
            </c:spPr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"/>
              <c:pt idx="0">
                <c:v>#N/A</c:v>
              </c:pt>
            </c:numLit>
          </c:xVal>
          <c:yVal>
            <c:numRef>
              <c:f>[1]iScatter!$Q$27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AF42-4C38-A21F-8CD90938FFFC}"/>
            </c:ext>
          </c:extLst>
        </c:ser>
        <c:ser>
          <c:idx val="3"/>
          <c:order val="5"/>
          <c:tx>
            <c:v>&lt;none&gt;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[1]iScatter!$O$19</c:f>
                  <c:strCache>
                    <c:ptCount val="1"/>
                    <c:pt idx="0">
                      <c:v>South Korea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{7E790EB7-E026-4942-8053-D823B051AE2C}</c15:txfldGUID>
                      <c15:f>[1]iScatter!$O$19</c15:f>
                      <c15:dlblFieldTableCache>
                        <c:ptCount val="1"/>
                        <c:pt idx="0">
                          <c:v>South Korea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2-AF42-4C38-A21F-8CD90938FFFC}"/>
                </c:ext>
              </c:extLst>
            </c:dLbl>
            <c:numFmt formatCode="General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#N/A</c:v>
              </c:pt>
            </c:numLit>
          </c:xVal>
          <c:yVal>
            <c:numRef>
              <c:f>[1]iScatter!$Q$19</c:f>
              <c:numCache>
                <c:formatCode>General</c:formatCode>
                <c:ptCount val="1"/>
                <c:pt idx="0">
                  <c:v>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AF42-4C38-A21F-8CD90938F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11360"/>
        <c:axId val="482914816"/>
      </c:scatterChart>
      <c:valAx>
        <c:axId val="48291136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val="4F81BD">
                      <a:lumMod val="60000"/>
                      <a:lumOff val="40000"/>
                    </a:srgbClr>
                  </a:solidFill>
                  <a:prstDash val="solid"/>
                  <a:round/>
                </a14:hiddenLine>
              </a:ext>
            </a:extLst>
          </c:spPr>
        </c:majorGridlines>
        <c:title>
          <c:tx>
            <c:strRef>
              <c:f>[1]iScatter!$B$9</c:f>
              <c:strCache>
                <c:ptCount val="1"/>
                <c:pt idx="0">
                  <c:v>OVERALL SCORE </c:v>
                </c:pt>
              </c:strCache>
            </c:strRef>
          </c:tx>
          <c:layout>
            <c:manualLayout>
              <c:xMode val="edge"/>
              <c:yMode val="edge"/>
              <c:x val="0.35768072950663105"/>
              <c:y val="0.9370875387962769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defRPr>
              </a:pPr>
              <a:endParaRPr lang="pt-BR"/>
            </a:p>
          </c:txPr>
        </c:title>
        <c:numFmt formatCode="#.##0" sourceLinked="0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69696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82914816"/>
        <c:crosses val="autoZero"/>
        <c:crossBetween val="midCat"/>
      </c:valAx>
      <c:valAx>
        <c:axId val="48291481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val="4F81BD">
                      <a:lumMod val="60000"/>
                      <a:lumOff val="40000"/>
                    </a:srgbClr>
                  </a:solidFill>
                  <a:prstDash val="solid"/>
                  <a:round/>
                </a14:hiddenLine>
              </a:ext>
            </a:extLst>
          </c:spPr>
        </c:majorGridlines>
        <c:title>
          <c:tx>
            <c:strRef>
              <c:f>[1]iScatter!$B$10</c:f>
              <c:strCache>
                <c:ptCount val="1"/>
                <c:pt idx="0">
                  <c:v>1) PREVENTION OF THE EMERGENCE OR RELEASE OF PATHOGENS </c:v>
                </c:pt>
              </c:strCache>
            </c:strRef>
          </c:tx>
          <c:layout>
            <c:manualLayout>
              <c:xMode val="edge"/>
              <c:yMode val="edge"/>
              <c:x val="2.6256354938848561E-3"/>
              <c:y val="0.24854112909531634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defRPr>
              </a:pPr>
              <a:endParaRPr lang="pt-BR"/>
            </a:p>
          </c:txPr>
        </c:title>
        <c:numFmt formatCode="#.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969696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82911360"/>
        <c:crosses val="autoZero"/>
        <c:crossBetween val="midCat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471125345712188E-2"/>
          <c:y val="4.9401160294920754E-2"/>
          <c:w val="0.87534333802517394"/>
          <c:h val="0.83333525598014824"/>
        </c:manualLayout>
      </c:layout>
      <c:scatterChart>
        <c:scatterStyle val="lineMarker"/>
        <c:varyColors val="0"/>
        <c:ser>
          <c:idx val="0"/>
          <c:order val="0"/>
          <c:tx>
            <c:v>base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bg1">
                  <a:lumMod val="5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[1]iScatter!$W$19:$W$213</c:f>
              <c:numCache>
                <c:formatCode>General</c:formatCode>
                <c:ptCount val="195"/>
                <c:pt idx="0">
                  <c:v>32.299999999999997</c:v>
                </c:pt>
                <c:pt idx="1">
                  <c:v>52.9</c:v>
                </c:pt>
                <c:pt idx="2">
                  <c:v>23.6</c:v>
                </c:pt>
                <c:pt idx="3">
                  <c:v>30.5</c:v>
                </c:pt>
                <c:pt idx="4">
                  <c:v>25.2</c:v>
                </c:pt>
                <c:pt idx="5">
                  <c:v>29</c:v>
                </c:pt>
                <c:pt idx="6">
                  <c:v>58.6</c:v>
                </c:pt>
                <c:pt idx="7">
                  <c:v>50.2</c:v>
                </c:pt>
                <c:pt idx="8">
                  <c:v>75.5</c:v>
                </c:pt>
                <c:pt idx="9">
                  <c:v>58.5</c:v>
                </c:pt>
                <c:pt idx="10">
                  <c:v>34.200000000000003</c:v>
                </c:pt>
                <c:pt idx="11">
                  <c:v>30.6</c:v>
                </c:pt>
                <c:pt idx="12">
                  <c:v>39.4</c:v>
                </c:pt>
                <c:pt idx="13">
                  <c:v>35</c:v>
                </c:pt>
                <c:pt idx="14">
                  <c:v>31.9</c:v>
                </c:pt>
                <c:pt idx="15">
                  <c:v>35.299999999999997</c:v>
                </c:pt>
                <c:pt idx="16">
                  <c:v>61</c:v>
                </c:pt>
                <c:pt idx="17">
                  <c:v>31.8</c:v>
                </c:pt>
                <c:pt idx="18">
                  <c:v>28.8</c:v>
                </c:pt>
                <c:pt idx="19">
                  <c:v>40.299999999999997</c:v>
                </c:pt>
                <c:pt idx="20">
                  <c:v>35.799999999999997</c:v>
                </c:pt>
                <c:pt idx="21">
                  <c:v>42.8</c:v>
                </c:pt>
                <c:pt idx="22">
                  <c:v>31.1</c:v>
                </c:pt>
                <c:pt idx="23">
                  <c:v>59.7</c:v>
                </c:pt>
                <c:pt idx="24">
                  <c:v>32.6</c:v>
                </c:pt>
                <c:pt idx="25">
                  <c:v>45.6</c:v>
                </c:pt>
                <c:pt idx="26">
                  <c:v>30.1</c:v>
                </c:pt>
                <c:pt idx="27">
                  <c:v>22.8</c:v>
                </c:pt>
                <c:pt idx="28">
                  <c:v>29.3</c:v>
                </c:pt>
                <c:pt idx="29">
                  <c:v>39.200000000000003</c:v>
                </c:pt>
                <c:pt idx="30">
                  <c:v>34.4</c:v>
                </c:pt>
                <c:pt idx="31">
                  <c:v>75.3</c:v>
                </c:pt>
                <c:pt idx="32">
                  <c:v>27.3</c:v>
                </c:pt>
                <c:pt idx="33">
                  <c:v>28.8</c:v>
                </c:pt>
                <c:pt idx="34">
                  <c:v>58.3</c:v>
                </c:pt>
                <c:pt idx="35">
                  <c:v>48.2</c:v>
                </c:pt>
                <c:pt idx="36">
                  <c:v>44.2</c:v>
                </c:pt>
                <c:pt idx="37">
                  <c:v>27.2</c:v>
                </c:pt>
                <c:pt idx="38">
                  <c:v>23.6</c:v>
                </c:pt>
                <c:pt idx="39">
                  <c:v>26.5</c:v>
                </c:pt>
                <c:pt idx="40">
                  <c:v>20.399999999999999</c:v>
                </c:pt>
                <c:pt idx="41">
                  <c:v>45.1</c:v>
                </c:pt>
                <c:pt idx="42">
                  <c:v>35.5</c:v>
                </c:pt>
                <c:pt idx="43">
                  <c:v>53.3</c:v>
                </c:pt>
                <c:pt idx="44">
                  <c:v>35.200000000000003</c:v>
                </c:pt>
                <c:pt idx="45">
                  <c:v>43</c:v>
                </c:pt>
                <c:pt idx="46">
                  <c:v>52</c:v>
                </c:pt>
                <c:pt idx="47">
                  <c:v>70.400000000000006</c:v>
                </c:pt>
                <c:pt idx="48">
                  <c:v>23.2</c:v>
                </c:pt>
                <c:pt idx="49">
                  <c:v>24</c:v>
                </c:pt>
                <c:pt idx="50">
                  <c:v>38.299999999999997</c:v>
                </c:pt>
                <c:pt idx="51">
                  <c:v>50.1</c:v>
                </c:pt>
                <c:pt idx="52">
                  <c:v>39.9</c:v>
                </c:pt>
                <c:pt idx="53">
                  <c:v>44.2</c:v>
                </c:pt>
                <c:pt idx="54">
                  <c:v>16.2</c:v>
                </c:pt>
                <c:pt idx="55">
                  <c:v>22.4</c:v>
                </c:pt>
                <c:pt idx="56">
                  <c:v>57</c:v>
                </c:pt>
                <c:pt idx="57">
                  <c:v>31.1</c:v>
                </c:pt>
                <c:pt idx="58">
                  <c:v>40.6</c:v>
                </c:pt>
                <c:pt idx="59">
                  <c:v>25.7</c:v>
                </c:pt>
                <c:pt idx="60">
                  <c:v>68.7</c:v>
                </c:pt>
                <c:pt idx="61">
                  <c:v>68.2</c:v>
                </c:pt>
                <c:pt idx="62">
                  <c:v>20</c:v>
                </c:pt>
                <c:pt idx="63">
                  <c:v>34.200000000000003</c:v>
                </c:pt>
                <c:pt idx="64">
                  <c:v>52</c:v>
                </c:pt>
                <c:pt idx="65">
                  <c:v>66</c:v>
                </c:pt>
                <c:pt idx="66">
                  <c:v>35.5</c:v>
                </c:pt>
                <c:pt idx="67">
                  <c:v>53.8</c:v>
                </c:pt>
                <c:pt idx="68">
                  <c:v>27.5</c:v>
                </c:pt>
                <c:pt idx="69">
                  <c:v>32.700000000000003</c:v>
                </c:pt>
                <c:pt idx="70">
                  <c:v>32.700000000000003</c:v>
                </c:pt>
                <c:pt idx="71">
                  <c:v>20</c:v>
                </c:pt>
                <c:pt idx="72">
                  <c:v>31.7</c:v>
                </c:pt>
                <c:pt idx="73">
                  <c:v>31.5</c:v>
                </c:pt>
                <c:pt idx="74">
                  <c:v>27.6</c:v>
                </c:pt>
                <c:pt idx="75">
                  <c:v>54</c:v>
                </c:pt>
                <c:pt idx="76">
                  <c:v>46.3</c:v>
                </c:pt>
                <c:pt idx="77">
                  <c:v>46.5</c:v>
                </c:pt>
                <c:pt idx="78">
                  <c:v>56.6</c:v>
                </c:pt>
                <c:pt idx="79">
                  <c:v>37.700000000000003</c:v>
                </c:pt>
                <c:pt idx="80">
                  <c:v>25.8</c:v>
                </c:pt>
                <c:pt idx="81">
                  <c:v>59</c:v>
                </c:pt>
                <c:pt idx="82">
                  <c:v>47.3</c:v>
                </c:pt>
                <c:pt idx="83">
                  <c:v>56.2</c:v>
                </c:pt>
                <c:pt idx="84">
                  <c:v>29</c:v>
                </c:pt>
                <c:pt idx="85">
                  <c:v>59.8</c:v>
                </c:pt>
                <c:pt idx="86">
                  <c:v>42.1</c:v>
                </c:pt>
                <c:pt idx="87">
                  <c:v>40.700000000000003</c:v>
                </c:pt>
                <c:pt idx="88">
                  <c:v>47.1</c:v>
                </c:pt>
                <c:pt idx="89">
                  <c:v>19.2</c:v>
                </c:pt>
                <c:pt idx="90">
                  <c:v>46.1</c:v>
                </c:pt>
                <c:pt idx="91">
                  <c:v>49.3</c:v>
                </c:pt>
                <c:pt idx="92">
                  <c:v>43.1</c:v>
                </c:pt>
                <c:pt idx="93">
                  <c:v>62.9</c:v>
                </c:pt>
                <c:pt idx="94">
                  <c:v>43.1</c:v>
                </c:pt>
                <c:pt idx="95">
                  <c:v>30.2</c:v>
                </c:pt>
                <c:pt idx="96">
                  <c:v>35.1</c:v>
                </c:pt>
                <c:pt idx="97">
                  <c:v>25.7</c:v>
                </c:pt>
                <c:pt idx="98">
                  <c:v>43.5</c:v>
                </c:pt>
                <c:pt idx="99">
                  <c:v>55</c:v>
                </c:pt>
                <c:pt idx="100">
                  <c:v>43.8</c:v>
                </c:pt>
                <c:pt idx="101">
                  <c:v>40.1</c:v>
                </c:pt>
                <c:pt idx="102">
                  <c:v>28</c:v>
                </c:pt>
                <c:pt idx="103">
                  <c:v>62.2</c:v>
                </c:pt>
                <c:pt idx="104">
                  <c:v>33.799999999999997</c:v>
                </c:pt>
                <c:pt idx="105">
                  <c:v>29</c:v>
                </c:pt>
                <c:pt idx="106">
                  <c:v>37.299999999999997</c:v>
                </c:pt>
                <c:pt idx="107">
                  <c:v>18.2</c:v>
                </c:pt>
                <c:pt idx="108">
                  <c:v>27.5</c:v>
                </c:pt>
                <c:pt idx="109">
                  <c:v>34.9</c:v>
                </c:pt>
                <c:pt idx="110">
                  <c:v>57.6</c:v>
                </c:pt>
                <c:pt idx="111">
                  <c:v>32.799999999999997</c:v>
                </c:pt>
                <c:pt idx="112">
                  <c:v>42.9</c:v>
                </c:pt>
                <c:pt idx="113">
                  <c:v>32.700000000000003</c:v>
                </c:pt>
                <c:pt idx="114">
                  <c:v>49.5</c:v>
                </c:pt>
                <c:pt idx="115">
                  <c:v>43.7</c:v>
                </c:pt>
                <c:pt idx="116">
                  <c:v>43.7</c:v>
                </c:pt>
                <c:pt idx="117">
                  <c:v>28.1</c:v>
                </c:pt>
                <c:pt idx="118">
                  <c:v>43.4</c:v>
                </c:pt>
                <c:pt idx="119">
                  <c:v>35.6</c:v>
                </c:pt>
                <c:pt idx="120">
                  <c:v>20.8</c:v>
                </c:pt>
                <c:pt idx="121">
                  <c:v>35.1</c:v>
                </c:pt>
                <c:pt idx="122">
                  <c:v>75.599999999999994</c:v>
                </c:pt>
                <c:pt idx="123">
                  <c:v>54</c:v>
                </c:pt>
                <c:pt idx="124">
                  <c:v>43.1</c:v>
                </c:pt>
                <c:pt idx="125">
                  <c:v>32.200000000000003</c:v>
                </c:pt>
                <c:pt idx="126">
                  <c:v>37.799999999999997</c:v>
                </c:pt>
                <c:pt idx="127">
                  <c:v>20.5</c:v>
                </c:pt>
                <c:pt idx="128">
                  <c:v>17.5</c:v>
                </c:pt>
                <c:pt idx="129">
                  <c:v>39.1</c:v>
                </c:pt>
                <c:pt idx="130">
                  <c:v>64.599999999999994</c:v>
                </c:pt>
                <c:pt idx="131">
                  <c:v>43.1</c:v>
                </c:pt>
                <c:pt idx="132">
                  <c:v>35.5</c:v>
                </c:pt>
                <c:pt idx="133">
                  <c:v>21.9</c:v>
                </c:pt>
                <c:pt idx="134">
                  <c:v>43.7</c:v>
                </c:pt>
                <c:pt idx="135">
                  <c:v>27.8</c:v>
                </c:pt>
                <c:pt idx="136">
                  <c:v>35.700000000000003</c:v>
                </c:pt>
                <c:pt idx="137">
                  <c:v>49.2</c:v>
                </c:pt>
                <c:pt idx="138">
                  <c:v>47.6</c:v>
                </c:pt>
                <c:pt idx="139">
                  <c:v>55.4</c:v>
                </c:pt>
                <c:pt idx="140">
                  <c:v>60.3</c:v>
                </c:pt>
                <c:pt idx="141">
                  <c:v>41.2</c:v>
                </c:pt>
                <c:pt idx="142">
                  <c:v>45.8</c:v>
                </c:pt>
                <c:pt idx="143">
                  <c:v>44.3</c:v>
                </c:pt>
                <c:pt idx="144">
                  <c:v>34.200000000000003</c:v>
                </c:pt>
                <c:pt idx="145">
                  <c:v>26.4</c:v>
                </c:pt>
                <c:pt idx="146">
                  <c:v>31.1</c:v>
                </c:pt>
                <c:pt idx="147">
                  <c:v>17.7</c:v>
                </c:pt>
                <c:pt idx="148">
                  <c:v>49.3</c:v>
                </c:pt>
                <c:pt idx="149">
                  <c:v>37.9</c:v>
                </c:pt>
                <c:pt idx="150">
                  <c:v>52.3</c:v>
                </c:pt>
                <c:pt idx="151">
                  <c:v>31.9</c:v>
                </c:pt>
                <c:pt idx="152">
                  <c:v>38.200000000000003</c:v>
                </c:pt>
                <c:pt idx="153">
                  <c:v>58.7</c:v>
                </c:pt>
                <c:pt idx="154">
                  <c:v>47.9</c:v>
                </c:pt>
                <c:pt idx="155">
                  <c:v>67.2</c:v>
                </c:pt>
                <c:pt idx="156">
                  <c:v>20.7</c:v>
                </c:pt>
                <c:pt idx="157">
                  <c:v>16.600000000000001</c:v>
                </c:pt>
                <c:pt idx="158">
                  <c:v>54.8</c:v>
                </c:pt>
                <c:pt idx="159">
                  <c:v>70.2</c:v>
                </c:pt>
                <c:pt idx="160">
                  <c:v>21.7</c:v>
                </c:pt>
                <c:pt idx="161">
                  <c:v>65.900000000000006</c:v>
                </c:pt>
                <c:pt idx="162">
                  <c:v>33.9</c:v>
                </c:pt>
                <c:pt idx="163">
                  <c:v>26.2</c:v>
                </c:pt>
                <c:pt idx="164">
                  <c:v>35.299999999999997</c:v>
                </c:pt>
                <c:pt idx="165">
                  <c:v>33</c:v>
                </c:pt>
                <c:pt idx="166">
                  <c:v>26.2</c:v>
                </c:pt>
                <c:pt idx="167">
                  <c:v>36.5</c:v>
                </c:pt>
                <c:pt idx="168">
                  <c:v>72.099999999999994</c:v>
                </c:pt>
                <c:pt idx="169">
                  <c:v>67</c:v>
                </c:pt>
                <c:pt idx="170">
                  <c:v>19.899999999999999</c:v>
                </c:pt>
                <c:pt idx="171">
                  <c:v>32.299999999999997</c:v>
                </c:pt>
                <c:pt idx="172">
                  <c:v>36.4</c:v>
                </c:pt>
                <c:pt idx="173">
                  <c:v>73.2</c:v>
                </c:pt>
                <c:pt idx="174">
                  <c:v>26</c:v>
                </c:pt>
                <c:pt idx="175">
                  <c:v>32.5</c:v>
                </c:pt>
                <c:pt idx="176">
                  <c:v>25.1</c:v>
                </c:pt>
                <c:pt idx="177">
                  <c:v>36.6</c:v>
                </c:pt>
                <c:pt idx="178">
                  <c:v>33.700000000000003</c:v>
                </c:pt>
                <c:pt idx="179">
                  <c:v>52.4</c:v>
                </c:pt>
                <c:pt idx="180">
                  <c:v>31.8</c:v>
                </c:pt>
                <c:pt idx="181">
                  <c:v>21.6</c:v>
                </c:pt>
                <c:pt idx="182">
                  <c:v>44.3</c:v>
                </c:pt>
                <c:pt idx="183">
                  <c:v>38</c:v>
                </c:pt>
                <c:pt idx="184">
                  <c:v>46.7</c:v>
                </c:pt>
                <c:pt idx="185">
                  <c:v>77.900000000000006</c:v>
                </c:pt>
                <c:pt idx="186">
                  <c:v>83.5</c:v>
                </c:pt>
                <c:pt idx="187">
                  <c:v>41.3</c:v>
                </c:pt>
                <c:pt idx="188">
                  <c:v>34.299999999999997</c:v>
                </c:pt>
                <c:pt idx="189">
                  <c:v>26.1</c:v>
                </c:pt>
                <c:pt idx="190">
                  <c:v>23</c:v>
                </c:pt>
                <c:pt idx="191">
                  <c:v>49.1</c:v>
                </c:pt>
                <c:pt idx="192">
                  <c:v>18.5</c:v>
                </c:pt>
                <c:pt idx="193">
                  <c:v>28.7</c:v>
                </c:pt>
                <c:pt idx="194">
                  <c:v>38.200000000000003</c:v>
                </c:pt>
              </c:numCache>
            </c:numRef>
          </c:xVal>
          <c:yVal>
            <c:numRef>
              <c:f>[1]iScatter!$X$19:$X$213</c:f>
              <c:numCache>
                <c:formatCode>General</c:formatCode>
                <c:ptCount val="195"/>
                <c:pt idx="0">
                  <c:v>23.5</c:v>
                </c:pt>
                <c:pt idx="1">
                  <c:v>43.8</c:v>
                </c:pt>
                <c:pt idx="2">
                  <c:v>25.7</c:v>
                </c:pt>
                <c:pt idx="3">
                  <c:v>27.9</c:v>
                </c:pt>
                <c:pt idx="4">
                  <c:v>24</c:v>
                </c:pt>
                <c:pt idx="5">
                  <c:v>17.8</c:v>
                </c:pt>
                <c:pt idx="6">
                  <c:v>41.4</c:v>
                </c:pt>
                <c:pt idx="7">
                  <c:v>56.7</c:v>
                </c:pt>
                <c:pt idx="8">
                  <c:v>68.900000000000006</c:v>
                </c:pt>
                <c:pt idx="9">
                  <c:v>57.4</c:v>
                </c:pt>
                <c:pt idx="10">
                  <c:v>30.8</c:v>
                </c:pt>
                <c:pt idx="11">
                  <c:v>24.7</c:v>
                </c:pt>
                <c:pt idx="12">
                  <c:v>36</c:v>
                </c:pt>
                <c:pt idx="13">
                  <c:v>27.3</c:v>
                </c:pt>
                <c:pt idx="14">
                  <c:v>33.299999999999997</c:v>
                </c:pt>
                <c:pt idx="15">
                  <c:v>19.399999999999999</c:v>
                </c:pt>
                <c:pt idx="16">
                  <c:v>63.5</c:v>
                </c:pt>
                <c:pt idx="17">
                  <c:v>30</c:v>
                </c:pt>
                <c:pt idx="18">
                  <c:v>16.5</c:v>
                </c:pt>
                <c:pt idx="19">
                  <c:v>35.5</c:v>
                </c:pt>
                <c:pt idx="20">
                  <c:v>44</c:v>
                </c:pt>
                <c:pt idx="21">
                  <c:v>36.700000000000003</c:v>
                </c:pt>
                <c:pt idx="22">
                  <c:v>22</c:v>
                </c:pt>
                <c:pt idx="23">
                  <c:v>59.2</c:v>
                </c:pt>
                <c:pt idx="24">
                  <c:v>24.8</c:v>
                </c:pt>
                <c:pt idx="25">
                  <c:v>37.6</c:v>
                </c:pt>
                <c:pt idx="26">
                  <c:v>18</c:v>
                </c:pt>
                <c:pt idx="27">
                  <c:v>25.1</c:v>
                </c:pt>
                <c:pt idx="28">
                  <c:v>27.9</c:v>
                </c:pt>
                <c:pt idx="29">
                  <c:v>28.6</c:v>
                </c:pt>
                <c:pt idx="30">
                  <c:v>28.2</c:v>
                </c:pt>
                <c:pt idx="31">
                  <c:v>70</c:v>
                </c:pt>
                <c:pt idx="32">
                  <c:v>18</c:v>
                </c:pt>
                <c:pt idx="33">
                  <c:v>23.2</c:v>
                </c:pt>
                <c:pt idx="34">
                  <c:v>56.2</c:v>
                </c:pt>
                <c:pt idx="35">
                  <c:v>45</c:v>
                </c:pt>
                <c:pt idx="36">
                  <c:v>37.200000000000003</c:v>
                </c:pt>
                <c:pt idx="37">
                  <c:v>19.2</c:v>
                </c:pt>
                <c:pt idx="38">
                  <c:v>17.600000000000001</c:v>
                </c:pt>
                <c:pt idx="39">
                  <c:v>24</c:v>
                </c:pt>
                <c:pt idx="40">
                  <c:v>10.9</c:v>
                </c:pt>
                <c:pt idx="41">
                  <c:v>44.2</c:v>
                </c:pt>
                <c:pt idx="42">
                  <c:v>27.3</c:v>
                </c:pt>
                <c:pt idx="43">
                  <c:v>55.2</c:v>
                </c:pt>
                <c:pt idx="44">
                  <c:v>41.4</c:v>
                </c:pt>
                <c:pt idx="45">
                  <c:v>46.4</c:v>
                </c:pt>
                <c:pt idx="46">
                  <c:v>51.1</c:v>
                </c:pt>
                <c:pt idx="47">
                  <c:v>72.900000000000006</c:v>
                </c:pt>
                <c:pt idx="48">
                  <c:v>16.3</c:v>
                </c:pt>
                <c:pt idx="49">
                  <c:v>11.2</c:v>
                </c:pt>
                <c:pt idx="50">
                  <c:v>30.5</c:v>
                </c:pt>
                <c:pt idx="51">
                  <c:v>53.9</c:v>
                </c:pt>
                <c:pt idx="52">
                  <c:v>36.5</c:v>
                </c:pt>
                <c:pt idx="53">
                  <c:v>22.1</c:v>
                </c:pt>
                <c:pt idx="54">
                  <c:v>1.9</c:v>
                </c:pt>
                <c:pt idx="55">
                  <c:v>23.4</c:v>
                </c:pt>
                <c:pt idx="56">
                  <c:v>47.6</c:v>
                </c:pt>
                <c:pt idx="57">
                  <c:v>35.700000000000003</c:v>
                </c:pt>
                <c:pt idx="58">
                  <c:v>36.799999999999997</c:v>
                </c:pt>
                <c:pt idx="59">
                  <c:v>24.6</c:v>
                </c:pt>
                <c:pt idx="60">
                  <c:v>68.5</c:v>
                </c:pt>
                <c:pt idx="61">
                  <c:v>71.2</c:v>
                </c:pt>
                <c:pt idx="62">
                  <c:v>10.8</c:v>
                </c:pt>
                <c:pt idx="63">
                  <c:v>22</c:v>
                </c:pt>
                <c:pt idx="64">
                  <c:v>53.2</c:v>
                </c:pt>
                <c:pt idx="65">
                  <c:v>66.5</c:v>
                </c:pt>
                <c:pt idx="66">
                  <c:v>32.200000000000003</c:v>
                </c:pt>
                <c:pt idx="67">
                  <c:v>54.2</c:v>
                </c:pt>
                <c:pt idx="68">
                  <c:v>8.6</c:v>
                </c:pt>
                <c:pt idx="69">
                  <c:v>21.2</c:v>
                </c:pt>
                <c:pt idx="70">
                  <c:v>27</c:v>
                </c:pt>
                <c:pt idx="71">
                  <c:v>14</c:v>
                </c:pt>
                <c:pt idx="72">
                  <c:v>27.9</c:v>
                </c:pt>
                <c:pt idx="73">
                  <c:v>31.5</c:v>
                </c:pt>
                <c:pt idx="74">
                  <c:v>21.6</c:v>
                </c:pt>
                <c:pt idx="75">
                  <c:v>56.4</c:v>
                </c:pt>
                <c:pt idx="76">
                  <c:v>35.299999999999997</c:v>
                </c:pt>
                <c:pt idx="77">
                  <c:v>34.9</c:v>
                </c:pt>
                <c:pt idx="78">
                  <c:v>50.2</c:v>
                </c:pt>
                <c:pt idx="79">
                  <c:v>44.7</c:v>
                </c:pt>
                <c:pt idx="80">
                  <c:v>22.1</c:v>
                </c:pt>
                <c:pt idx="81">
                  <c:v>63.9</c:v>
                </c:pt>
                <c:pt idx="82">
                  <c:v>44</c:v>
                </c:pt>
                <c:pt idx="83">
                  <c:v>47.5</c:v>
                </c:pt>
                <c:pt idx="84">
                  <c:v>20.100000000000001</c:v>
                </c:pt>
                <c:pt idx="85">
                  <c:v>49.3</c:v>
                </c:pt>
                <c:pt idx="86">
                  <c:v>31.8</c:v>
                </c:pt>
                <c:pt idx="87">
                  <c:v>58.8</c:v>
                </c:pt>
                <c:pt idx="88">
                  <c:v>45.9</c:v>
                </c:pt>
                <c:pt idx="89">
                  <c:v>10.7</c:v>
                </c:pt>
                <c:pt idx="90">
                  <c:v>40.9</c:v>
                </c:pt>
                <c:pt idx="91">
                  <c:v>29.7</c:v>
                </c:pt>
                <c:pt idx="92">
                  <c:v>18.899999999999999</c:v>
                </c:pt>
                <c:pt idx="93">
                  <c:v>56</c:v>
                </c:pt>
                <c:pt idx="94">
                  <c:v>27.3</c:v>
                </c:pt>
                <c:pt idx="95">
                  <c:v>24.4</c:v>
                </c:pt>
                <c:pt idx="96">
                  <c:v>14.3</c:v>
                </c:pt>
                <c:pt idx="97">
                  <c:v>23.2</c:v>
                </c:pt>
                <c:pt idx="98">
                  <c:v>43.1</c:v>
                </c:pt>
                <c:pt idx="99">
                  <c:v>43.5</c:v>
                </c:pt>
                <c:pt idx="100">
                  <c:v>31</c:v>
                </c:pt>
                <c:pt idx="101">
                  <c:v>30.1</c:v>
                </c:pt>
                <c:pt idx="102">
                  <c:v>25.5</c:v>
                </c:pt>
                <c:pt idx="103">
                  <c:v>51.4</c:v>
                </c:pt>
                <c:pt idx="104">
                  <c:v>21.8</c:v>
                </c:pt>
                <c:pt idx="105">
                  <c:v>23.4</c:v>
                </c:pt>
                <c:pt idx="106">
                  <c:v>35</c:v>
                </c:pt>
                <c:pt idx="107">
                  <c:v>7</c:v>
                </c:pt>
                <c:pt idx="108">
                  <c:v>9.9</c:v>
                </c:pt>
                <c:pt idx="109">
                  <c:v>27.3</c:v>
                </c:pt>
                <c:pt idx="110">
                  <c:v>45.5</c:v>
                </c:pt>
                <c:pt idx="111">
                  <c:v>21</c:v>
                </c:pt>
                <c:pt idx="112">
                  <c:v>46.5</c:v>
                </c:pt>
                <c:pt idx="113">
                  <c:v>11.1</c:v>
                </c:pt>
                <c:pt idx="114">
                  <c:v>37.6</c:v>
                </c:pt>
                <c:pt idx="115">
                  <c:v>36.5</c:v>
                </c:pt>
                <c:pt idx="116">
                  <c:v>34.6</c:v>
                </c:pt>
                <c:pt idx="117">
                  <c:v>26.5</c:v>
                </c:pt>
                <c:pt idx="118">
                  <c:v>30.3</c:v>
                </c:pt>
                <c:pt idx="119">
                  <c:v>32</c:v>
                </c:pt>
                <c:pt idx="120">
                  <c:v>9.1</c:v>
                </c:pt>
                <c:pt idx="121">
                  <c:v>43.7</c:v>
                </c:pt>
                <c:pt idx="122">
                  <c:v>73.7</c:v>
                </c:pt>
                <c:pt idx="123">
                  <c:v>55</c:v>
                </c:pt>
                <c:pt idx="124">
                  <c:v>41.7</c:v>
                </c:pt>
                <c:pt idx="125">
                  <c:v>32.5</c:v>
                </c:pt>
                <c:pt idx="126">
                  <c:v>26.3</c:v>
                </c:pt>
                <c:pt idx="127">
                  <c:v>11</c:v>
                </c:pt>
                <c:pt idx="128">
                  <c:v>19</c:v>
                </c:pt>
                <c:pt idx="129">
                  <c:v>37</c:v>
                </c:pt>
                <c:pt idx="130">
                  <c:v>68.2</c:v>
                </c:pt>
                <c:pt idx="131">
                  <c:v>35.299999999999997</c:v>
                </c:pt>
                <c:pt idx="132">
                  <c:v>24.1</c:v>
                </c:pt>
                <c:pt idx="133">
                  <c:v>8.1999999999999993</c:v>
                </c:pt>
                <c:pt idx="134">
                  <c:v>40.5</c:v>
                </c:pt>
                <c:pt idx="135">
                  <c:v>10</c:v>
                </c:pt>
                <c:pt idx="136">
                  <c:v>39.5</c:v>
                </c:pt>
                <c:pt idx="137">
                  <c:v>43.2</c:v>
                </c:pt>
                <c:pt idx="138">
                  <c:v>38.5</c:v>
                </c:pt>
                <c:pt idx="139">
                  <c:v>50.9</c:v>
                </c:pt>
                <c:pt idx="140">
                  <c:v>52.8</c:v>
                </c:pt>
                <c:pt idx="141">
                  <c:v>33.1</c:v>
                </c:pt>
                <c:pt idx="142">
                  <c:v>48.9</c:v>
                </c:pt>
                <c:pt idx="143">
                  <c:v>42.9</c:v>
                </c:pt>
                <c:pt idx="144">
                  <c:v>33.799999999999997</c:v>
                </c:pt>
                <c:pt idx="145">
                  <c:v>20.2</c:v>
                </c:pt>
                <c:pt idx="146">
                  <c:v>22.3</c:v>
                </c:pt>
                <c:pt idx="147">
                  <c:v>8.1999999999999993</c:v>
                </c:pt>
                <c:pt idx="148">
                  <c:v>34.299999999999997</c:v>
                </c:pt>
                <c:pt idx="149">
                  <c:v>25.4</c:v>
                </c:pt>
                <c:pt idx="150">
                  <c:v>48.8</c:v>
                </c:pt>
                <c:pt idx="151">
                  <c:v>9.8000000000000007</c:v>
                </c:pt>
                <c:pt idx="152">
                  <c:v>25</c:v>
                </c:pt>
                <c:pt idx="153">
                  <c:v>56.2</c:v>
                </c:pt>
                <c:pt idx="154">
                  <c:v>53.5</c:v>
                </c:pt>
                <c:pt idx="155">
                  <c:v>67</c:v>
                </c:pt>
                <c:pt idx="156">
                  <c:v>8.4</c:v>
                </c:pt>
                <c:pt idx="157">
                  <c:v>15.8</c:v>
                </c:pt>
                <c:pt idx="158">
                  <c:v>44.8</c:v>
                </c:pt>
                <c:pt idx="159">
                  <c:v>57.3</c:v>
                </c:pt>
                <c:pt idx="160">
                  <c:v>22.6</c:v>
                </c:pt>
                <c:pt idx="161">
                  <c:v>52.9</c:v>
                </c:pt>
                <c:pt idx="162">
                  <c:v>24.2</c:v>
                </c:pt>
                <c:pt idx="163">
                  <c:v>8.6999999999999993</c:v>
                </c:pt>
                <c:pt idx="164">
                  <c:v>22.8</c:v>
                </c:pt>
                <c:pt idx="165">
                  <c:v>20</c:v>
                </c:pt>
                <c:pt idx="166">
                  <c:v>31.8</c:v>
                </c:pt>
                <c:pt idx="167">
                  <c:v>23.3</c:v>
                </c:pt>
                <c:pt idx="168">
                  <c:v>81.099999999999994</c:v>
                </c:pt>
                <c:pt idx="169">
                  <c:v>52.7</c:v>
                </c:pt>
                <c:pt idx="170">
                  <c:v>18.399999999999999</c:v>
                </c:pt>
                <c:pt idx="171">
                  <c:v>26.7</c:v>
                </c:pt>
                <c:pt idx="172">
                  <c:v>33.5</c:v>
                </c:pt>
                <c:pt idx="173">
                  <c:v>75.7</c:v>
                </c:pt>
                <c:pt idx="174">
                  <c:v>18.2</c:v>
                </c:pt>
                <c:pt idx="175">
                  <c:v>23.7</c:v>
                </c:pt>
                <c:pt idx="176">
                  <c:v>19.8</c:v>
                </c:pt>
                <c:pt idx="177">
                  <c:v>28.1</c:v>
                </c:pt>
                <c:pt idx="178">
                  <c:v>31.7</c:v>
                </c:pt>
                <c:pt idx="179">
                  <c:v>56.9</c:v>
                </c:pt>
                <c:pt idx="180">
                  <c:v>31</c:v>
                </c:pt>
                <c:pt idx="181">
                  <c:v>13.1</c:v>
                </c:pt>
                <c:pt idx="182">
                  <c:v>42.7</c:v>
                </c:pt>
                <c:pt idx="183">
                  <c:v>38.1</c:v>
                </c:pt>
                <c:pt idx="184">
                  <c:v>49.3</c:v>
                </c:pt>
                <c:pt idx="185">
                  <c:v>68.3</c:v>
                </c:pt>
                <c:pt idx="186">
                  <c:v>83.1</c:v>
                </c:pt>
                <c:pt idx="187">
                  <c:v>44</c:v>
                </c:pt>
                <c:pt idx="188">
                  <c:v>42.6</c:v>
                </c:pt>
                <c:pt idx="189">
                  <c:v>24.5</c:v>
                </c:pt>
                <c:pt idx="190">
                  <c:v>23.5</c:v>
                </c:pt>
                <c:pt idx="191">
                  <c:v>49.5</c:v>
                </c:pt>
                <c:pt idx="192">
                  <c:v>15.1</c:v>
                </c:pt>
                <c:pt idx="193">
                  <c:v>24.5</c:v>
                </c:pt>
                <c:pt idx="194">
                  <c:v>31.4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AD-4FCE-9FAE-BE9B29C994DB}"/>
            </c:ext>
          </c:extLst>
        </c:ser>
        <c:ser>
          <c:idx val="1"/>
          <c:order val="1"/>
          <c:tx>
            <c:v>Highlighted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1AD-4FCE-9FAE-BE9B29C994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1AD-4FCE-9FAE-BE9B29C994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1AD-4FCE-9FAE-BE9B29C994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1AD-4FCE-9FAE-BE9B29C994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1AD-4FCE-9FAE-BE9B29C994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1AD-4FCE-9FAE-BE9B29C994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1AD-4FCE-9FAE-BE9B29C994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>
                      <a:defRPr sz="800"/>
                    </a:pPr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AD-4FCE-9FAE-BE9B29C994D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[1]iScatter!$Z$19:$Z$213</c:f>
              <c:numCache>
                <c:formatCode>General</c:formatCode>
                <c:ptCount val="1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29</c:v>
                </c:pt>
                <c:pt idx="6">
                  <c:v>58.6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30.6</c:v>
                </c:pt>
                <c:pt idx="12">
                  <c:v>#N/A</c:v>
                </c:pt>
                <c:pt idx="13">
                  <c:v>#N/A</c:v>
                </c:pt>
                <c:pt idx="14">
                  <c:v>31.9</c:v>
                </c:pt>
                <c:pt idx="15">
                  <c:v>#N/A</c:v>
                </c:pt>
                <c:pt idx="16">
                  <c:v>#N/A</c:v>
                </c:pt>
                <c:pt idx="17">
                  <c:v>31.8</c:v>
                </c:pt>
                <c:pt idx="18">
                  <c:v>#N/A</c:v>
                </c:pt>
                <c:pt idx="19">
                  <c:v>#N/A</c:v>
                </c:pt>
                <c:pt idx="20">
                  <c:v>35.799999999999997</c:v>
                </c:pt>
                <c:pt idx="21">
                  <c:v>#N/A</c:v>
                </c:pt>
                <c:pt idx="22">
                  <c:v>#N/A</c:v>
                </c:pt>
                <c:pt idx="23">
                  <c:v>59.7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58.3</c:v>
                </c:pt>
                <c:pt idx="35">
                  <c:v>#N/A</c:v>
                </c:pt>
                <c:pt idx="36">
                  <c:v>44.2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45.1</c:v>
                </c:pt>
                <c:pt idx="42">
                  <c:v>#N/A</c:v>
                </c:pt>
                <c:pt idx="43">
                  <c:v>#N/A</c:v>
                </c:pt>
                <c:pt idx="44">
                  <c:v>35.200000000000003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24</c:v>
                </c:pt>
                <c:pt idx="50">
                  <c:v>38.299999999999997</c:v>
                </c:pt>
                <c:pt idx="51">
                  <c:v>50.1</c:v>
                </c:pt>
                <c:pt idx="52">
                  <c:v>#N/A</c:v>
                </c:pt>
                <c:pt idx="53">
                  <c:v>44.2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27.5</c:v>
                </c:pt>
                <c:pt idx="69">
                  <c:v>32.700000000000003</c:v>
                </c:pt>
                <c:pt idx="70">
                  <c:v>#N/A</c:v>
                </c:pt>
                <c:pt idx="71">
                  <c:v>#N/A</c:v>
                </c:pt>
                <c:pt idx="72">
                  <c:v>31.7</c:v>
                </c:pt>
                <c:pt idx="73">
                  <c:v>31.5</c:v>
                </c:pt>
                <c:pt idx="74">
                  <c:v>27.6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29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57.6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43.1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43.7</c:v>
                </c:pt>
                <c:pt idx="135">
                  <c:v>#N/A</c:v>
                </c:pt>
                <c:pt idx="136">
                  <c:v>35.700000000000003</c:v>
                </c:pt>
                <c:pt idx="137">
                  <c:v>49.2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26.2</c:v>
                </c:pt>
                <c:pt idx="164">
                  <c:v>35.299999999999997</c:v>
                </c:pt>
                <c:pt idx="165">
                  <c:v>33</c:v>
                </c:pt>
                <c:pt idx="166">
                  <c:v>#N/A</c:v>
                </c:pt>
                <c:pt idx="167">
                  <c:v>36.5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36.6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41.3</c:v>
                </c:pt>
                <c:pt idx="188">
                  <c:v>#N/A</c:v>
                </c:pt>
                <c:pt idx="189">
                  <c:v>#N/A</c:v>
                </c:pt>
                <c:pt idx="190">
                  <c:v>23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</c:numCache>
            </c:numRef>
          </c:xVal>
          <c:yVal>
            <c:numRef>
              <c:f>[1]iScatter!$AA$19:$AA$213</c:f>
              <c:numCache>
                <c:formatCode>General</c:formatCode>
                <c:ptCount val="1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17.8</c:v>
                </c:pt>
                <c:pt idx="6">
                  <c:v>41.4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24.7</c:v>
                </c:pt>
                <c:pt idx="12">
                  <c:v>#N/A</c:v>
                </c:pt>
                <c:pt idx="13">
                  <c:v>#N/A</c:v>
                </c:pt>
                <c:pt idx="14">
                  <c:v>33.299999999999997</c:v>
                </c:pt>
                <c:pt idx="15">
                  <c:v>#N/A</c:v>
                </c:pt>
                <c:pt idx="16">
                  <c:v>#N/A</c:v>
                </c:pt>
                <c:pt idx="17">
                  <c:v>30</c:v>
                </c:pt>
                <c:pt idx="18">
                  <c:v>#N/A</c:v>
                </c:pt>
                <c:pt idx="19">
                  <c:v>#N/A</c:v>
                </c:pt>
                <c:pt idx="20">
                  <c:v>44</c:v>
                </c:pt>
                <c:pt idx="21">
                  <c:v>#N/A</c:v>
                </c:pt>
                <c:pt idx="22">
                  <c:v>#N/A</c:v>
                </c:pt>
                <c:pt idx="23">
                  <c:v>59.2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56.2</c:v>
                </c:pt>
                <c:pt idx="35">
                  <c:v>#N/A</c:v>
                </c:pt>
                <c:pt idx="36">
                  <c:v>37.200000000000003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44.2</c:v>
                </c:pt>
                <c:pt idx="42">
                  <c:v>#N/A</c:v>
                </c:pt>
                <c:pt idx="43">
                  <c:v>#N/A</c:v>
                </c:pt>
                <c:pt idx="44">
                  <c:v>41.4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11.2</c:v>
                </c:pt>
                <c:pt idx="50">
                  <c:v>30.5</c:v>
                </c:pt>
                <c:pt idx="51">
                  <c:v>53.9</c:v>
                </c:pt>
                <c:pt idx="52">
                  <c:v>#N/A</c:v>
                </c:pt>
                <c:pt idx="53">
                  <c:v>22.1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8.6</c:v>
                </c:pt>
                <c:pt idx="69">
                  <c:v>21.2</c:v>
                </c:pt>
                <c:pt idx="70">
                  <c:v>#N/A</c:v>
                </c:pt>
                <c:pt idx="71">
                  <c:v>#N/A</c:v>
                </c:pt>
                <c:pt idx="72">
                  <c:v>27.9</c:v>
                </c:pt>
                <c:pt idx="73">
                  <c:v>31.5</c:v>
                </c:pt>
                <c:pt idx="74">
                  <c:v>21.6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20.100000000000001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45.5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41.7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40.5</c:v>
                </c:pt>
                <c:pt idx="135">
                  <c:v>#N/A</c:v>
                </c:pt>
                <c:pt idx="136">
                  <c:v>39.5</c:v>
                </c:pt>
                <c:pt idx="137">
                  <c:v>43.2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8.6999999999999993</c:v>
                </c:pt>
                <c:pt idx="164">
                  <c:v>22.8</c:v>
                </c:pt>
                <c:pt idx="165">
                  <c:v>20</c:v>
                </c:pt>
                <c:pt idx="166">
                  <c:v>#N/A</c:v>
                </c:pt>
                <c:pt idx="167">
                  <c:v>23.3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28.1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44</c:v>
                </c:pt>
                <c:pt idx="188">
                  <c:v>#N/A</c:v>
                </c:pt>
                <c:pt idx="189">
                  <c:v>#N/A</c:v>
                </c:pt>
                <c:pt idx="190">
                  <c:v>23.5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1AD-4FCE-9FAE-BE9B29C994DB}"/>
            </c:ext>
          </c:extLst>
        </c:ser>
        <c:ser>
          <c:idx val="2"/>
          <c:order val="2"/>
          <c:tx>
            <c:v>Labels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[1]iScatter!$B$19</c:f>
                  <c:strCache>
                    <c:ptCount val="1"/>
                    <c:pt idx="0">
                      <c:v>Afghanistan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{E5DFBEB5-2253-4B5A-896C-C83A7D3561E6}</c15:txfldGUID>
                      <c15:f>[1]iScatter!$B$19</c15:f>
                      <c15:dlblFieldTableCache>
                        <c:ptCount val="1"/>
                        <c:pt idx="0">
                          <c:v>Afghanistan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1AD-4FCE-9FAE-BE9B29C994DB}"/>
                </c:ext>
              </c:extLst>
            </c:dLbl>
            <c:dLbl>
              <c:idx val="1"/>
              <c:tx>
                <c:strRef>
                  <c:f>[1]iScatter!$B$20</c:f>
                  <c:strCache>
                    <c:ptCount val="1"/>
                    <c:pt idx="0">
                      <c:v>Albania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{D9018EED-D202-4ADB-A3FB-CF16C9FFA543}</c15:txfldGUID>
                      <c15:f>[1]iScatter!$B$20</c15:f>
                      <c15:dlblFieldTableCache>
                        <c:ptCount val="1"/>
                        <c:pt idx="0">
                          <c:v>Albania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1AD-4FCE-9FAE-BE9B29C994DB}"/>
                </c:ext>
              </c:extLst>
            </c:dLbl>
            <c:dLbl>
              <c:idx val="2"/>
              <c:tx>
                <c:strRef>
                  <c:f>[1]iScatter!$B$21</c:f>
                  <c:strCache>
                    <c:ptCount val="1"/>
                    <c:pt idx="0">
                      <c:v>Algeria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{EC771C85-4BCF-42C1-93BF-908F2DC1D6E4}</c15:txfldGUID>
                      <c15:f>[1]iScatter!$B$21</c15:f>
                      <c15:dlblFieldTableCache>
                        <c:ptCount val="1"/>
                        <c:pt idx="0">
                          <c:v>Algeria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1AD-4FCE-9FAE-BE9B29C994DB}"/>
                </c:ext>
              </c:extLst>
            </c:dLbl>
            <c:dLbl>
              <c:idx val="3"/>
              <c:tx>
                <c:strRef>
                  <c:f>[1]iScatter!$B$22</c:f>
                  <c:strCache>
                    <c:ptCount val="1"/>
                    <c:pt idx="0">
                      <c:v>Andorra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{674FF453-05B9-4965-A775-6B7ADE028720}</c15:txfldGUID>
                      <c15:f>[1]iScatter!$B$22</c15:f>
                      <c15:dlblFieldTableCache>
                        <c:ptCount val="1"/>
                        <c:pt idx="0">
                          <c:v>Andorra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1AD-4FCE-9FAE-BE9B29C994DB}"/>
                </c:ext>
              </c:extLst>
            </c:dLbl>
            <c:dLbl>
              <c:idx val="4"/>
              <c:tx>
                <c:strRef>
                  <c:f>[1]iScatter!$B$23</c:f>
                  <c:strCache>
                    <c:ptCount val="1"/>
                    <c:pt idx="0">
                      <c:v>Angola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{D6643A25-29A4-4CE3-9023-5AC6F3538FBC}</c15:txfldGUID>
                      <c15:f>[1]iScatter!$B$23</c15:f>
                      <c15:dlblFieldTableCache>
                        <c:ptCount val="1"/>
                        <c:pt idx="0">
                          <c:v>Angola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1AD-4FCE-9FAE-BE9B29C994D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AD-4FCE-9FAE-BE9B29C994DB}"/>
                </c:ext>
              </c:extLst>
            </c:dLbl>
            <c:dLbl>
              <c:idx val="6"/>
              <c:tx>
                <c:strRef>
                  <c:f>[1]iScatter!$B$25</c:f>
                  <c:strCache>
                    <c:ptCount val="1"/>
                    <c:pt idx="0">
                      <c:v>Argentina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{8FBFB32F-22A7-460A-9D99-9EFBAAA134E5}</c15:txfldGUID>
                      <c15:f>[1]iScatter!$B$25</c15:f>
                      <c15:dlblFieldTableCache>
                        <c:ptCount val="1"/>
                        <c:pt idx="0">
                          <c:v>Argentina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A1AD-4FCE-9FAE-BE9B29C994DB}"/>
                </c:ext>
              </c:extLst>
            </c:dLbl>
            <c:dLbl>
              <c:idx val="7"/>
              <c:tx>
                <c:strRef>
                  <c:f>[1]iScatter!$B$26</c:f>
                  <c:strCache>
                    <c:ptCount val="1"/>
                    <c:pt idx="0">
                      <c:v>Armenia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{A3D63DBB-8FBA-451B-8ECC-BAE150179B18}</c15:txfldGUID>
                      <c15:f>[1]iScatter!$B$26</c15:f>
                      <c15:dlblFieldTableCache>
                        <c:ptCount val="1"/>
                        <c:pt idx="0">
                          <c:v>Armenia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1AD-4FCE-9FAE-BE9B29C994DB}"/>
                </c:ext>
              </c:extLst>
            </c:dLbl>
            <c:dLbl>
              <c:idx val="8"/>
              <c:tx>
                <c:strRef>
                  <c:f>[1]iScatter!$B$27</c:f>
                  <c:strCache>
                    <c:ptCount val="1"/>
                    <c:pt idx="0">
                      <c:v>Australia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{B2A651E3-F4C4-40C3-BBE3-7533CAE3EEBC}</c15:txfldGUID>
                      <c15:f>[1]iScatter!$B$27</c15:f>
                      <c15:dlblFieldTableCache>
                        <c:ptCount val="1"/>
                        <c:pt idx="0">
                          <c:v>Australia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A1AD-4FCE-9FAE-BE9B29C994DB}"/>
                </c:ext>
              </c:extLst>
            </c:dLbl>
            <c:dLbl>
              <c:idx val="9"/>
              <c:tx>
                <c:strRef>
                  <c:f>[1]iScatter!$B$28</c:f>
                  <c:strCache>
                    <c:ptCount val="1"/>
                    <c:pt idx="0">
                      <c:v>Austria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{C8654AD6-1043-426F-AF24-565476AE762B}</c15:txfldGUID>
                      <c15:f>[1]iScatter!$B$28</c15:f>
                      <c15:dlblFieldTableCache>
                        <c:ptCount val="1"/>
                        <c:pt idx="0">
                          <c:v>Austria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A1AD-4FCE-9FAE-BE9B29C994DB}"/>
                </c:ext>
              </c:extLst>
            </c:dLbl>
            <c:dLbl>
              <c:idx val="10"/>
              <c:tx>
                <c:strRef>
                  <c:f>[1]iScatter!$B$29</c:f>
                  <c:strCache>
                    <c:ptCount val="1"/>
                    <c:pt idx="0">
                      <c:v>Azerbaijan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{23951CD2-7AAA-4D7C-8E4B-3CF27652A4FC}</c15:txfldGUID>
                      <c15:f>[1]iScatter!$B$29</c15:f>
                      <c15:dlblFieldTableCache>
                        <c:ptCount val="1"/>
                        <c:pt idx="0">
                          <c:v>Azerbaijan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A1AD-4FCE-9FAE-BE9B29C994D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AD-4FCE-9FAE-BE9B29C994DB}"/>
                </c:ext>
              </c:extLst>
            </c:dLbl>
            <c:dLbl>
              <c:idx val="12"/>
              <c:tx>
                <c:strRef>
                  <c:f>[1]iScatter!$B$31</c:f>
                  <c:strCache>
                    <c:ptCount val="1"/>
                    <c:pt idx="0">
                      <c:v>Bahrain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{3E07AC85-85C5-424F-91DE-8613C57A0CBB}</c15:txfldGUID>
                      <c15:f>[1]iScatter!$B$31</c15:f>
                      <c15:dlblFieldTableCache>
                        <c:ptCount val="1"/>
                        <c:pt idx="0">
                          <c:v>Bahrain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A1AD-4FCE-9FAE-BE9B29C994DB}"/>
                </c:ext>
              </c:extLst>
            </c:dLbl>
            <c:dLbl>
              <c:idx val="13"/>
              <c:tx>
                <c:strRef>
                  <c:f>[1]iScatter!$B$32</c:f>
                  <c:strCache>
                    <c:ptCount val="1"/>
                    <c:pt idx="0">
                      <c:v>Bangladesh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{83AB210C-D85E-4100-AE3A-53F63735080E}</c15:txfldGUID>
                      <c15:f>[1]iScatter!$B$32</c15:f>
                      <c15:dlblFieldTableCache>
                        <c:ptCount val="1"/>
                        <c:pt idx="0">
                          <c:v>Bangladesh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A1AD-4FCE-9FAE-BE9B29C994DB}"/>
                </c:ext>
              </c:extLst>
            </c:dLbl>
            <c:dLbl>
              <c:idx val="14"/>
              <c:tx>
                <c:strRef>
                  <c:f>[1]iScatter!$B$33</c:f>
                  <c:strCache>
                    <c:ptCount val="1"/>
                    <c:pt idx="0">
                      <c:v>Barbados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{BBF05C7D-2D42-4261-8848-DFE54A93A9CD}</c15:txfldGUID>
                      <c15:f>[1]iScatter!$B$33</c15:f>
                      <c15:dlblFieldTableCache>
                        <c:ptCount val="1"/>
                        <c:pt idx="0">
                          <c:v>Barbados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A1AD-4FCE-9FAE-BE9B29C994DB}"/>
                </c:ext>
              </c:extLst>
            </c:dLbl>
            <c:dLbl>
              <c:idx val="15"/>
              <c:tx>
                <c:strRef>
                  <c:f>[1]iScatter!$B$34</c:f>
                  <c:strCache>
                    <c:ptCount val="1"/>
                    <c:pt idx="0">
                      <c:v>Belarus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{E88E1AE9-4BEB-4669-B4DB-145A20BF4BBA}</c15:txfldGUID>
                      <c15:f>[1]iScatter!$B$34</c15:f>
                      <c15:dlblFieldTableCache>
                        <c:ptCount val="1"/>
                        <c:pt idx="0">
                          <c:v>Belarus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A1AD-4FCE-9FAE-BE9B29C994DB}"/>
                </c:ext>
              </c:extLst>
            </c:dLbl>
            <c:dLbl>
              <c:idx val="16"/>
              <c:tx>
                <c:strRef>
                  <c:f>[1]iScatter!$B$35</c:f>
                  <c:strCache>
                    <c:ptCount val="1"/>
                    <c:pt idx="0">
                      <c:v>Belgium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{C19132F1-520E-4A40-8EC2-4AF90E7C61B3}</c15:txfldGUID>
                      <c15:f>[1]iScatter!$B$35</c15:f>
                      <c15:dlblFieldTableCache>
                        <c:ptCount val="1"/>
                        <c:pt idx="0">
                          <c:v>Belgium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A1AD-4FCE-9FAE-BE9B29C994D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AD-4FCE-9FAE-BE9B29C994DB}"/>
                </c:ext>
              </c:extLst>
            </c:dLbl>
            <c:dLbl>
              <c:idx val="18"/>
              <c:tx>
                <c:strRef>
                  <c:f>[1]iScatter!$B$37</c:f>
                  <c:strCache>
                    <c:ptCount val="1"/>
                    <c:pt idx="0">
                      <c:v>Benin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{C8294343-2D0A-46E1-B695-E2ABAD1A151A}</c15:txfldGUID>
                      <c15:f>[1]iScatter!$B$37</c15:f>
                      <c15:dlblFieldTableCache>
                        <c:ptCount val="1"/>
                        <c:pt idx="0">
                          <c:v>Benin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A1AD-4FCE-9FAE-BE9B29C994DB}"/>
                </c:ext>
              </c:extLst>
            </c:dLbl>
            <c:dLbl>
              <c:idx val="19"/>
              <c:tx>
                <c:strRef>
                  <c:f>[1]iScatter!$B$38</c:f>
                  <c:strCache>
                    <c:ptCount val="1"/>
                    <c:pt idx="0">
                      <c:v>Bhutan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{5EB9B206-6B2E-4165-9E35-912EEAAF8E4E}</c15:txfldGUID>
                      <c15:f>[1]iScatter!$B$38</c15:f>
                      <c15:dlblFieldTableCache>
                        <c:ptCount val="1"/>
                        <c:pt idx="0">
                          <c:v>Bhutan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A1AD-4FCE-9FAE-BE9B29C994DB}"/>
                </c:ext>
              </c:extLst>
            </c:dLbl>
            <c:dLbl>
              <c:idx val="20"/>
              <c:tx>
                <c:strRef>
                  <c:f>[1]iScatter!$B$39</c:f>
                  <c:strCache>
                    <c:ptCount val="1"/>
                    <c:pt idx="0">
                      <c:v>Bolivia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{2F52C7D1-BF2B-4520-B657-0CF1CA4EFD39}</c15:txfldGUID>
                      <c15:f>[1]iScatter!$B$39</c15:f>
                      <c15:dlblFieldTableCache>
                        <c:ptCount val="1"/>
                        <c:pt idx="0">
                          <c:v>Bolivia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A1AD-4FCE-9FAE-BE9B29C994DB}"/>
                </c:ext>
              </c:extLst>
            </c:dLbl>
            <c:dLbl>
              <c:idx val="21"/>
              <c:tx>
                <c:strRef>
                  <c:f>[1]iScatter!$B$40</c:f>
                  <c:strCache>
                    <c:ptCount val="1"/>
                    <c:pt idx="0">
                      <c:v>Bosnia and Herzegovina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{D8377B65-4658-4DC9-B8C0-505735FD5A67}</c15:txfldGUID>
                      <c15:f>[1]iScatter!$B$40</c15:f>
                      <c15:dlblFieldTableCache>
                        <c:ptCount val="1"/>
                        <c:pt idx="0">
                          <c:v>Bosnia and Herzegovina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A1AD-4FCE-9FAE-BE9B29C994DB}"/>
                </c:ext>
              </c:extLst>
            </c:dLbl>
            <c:dLbl>
              <c:idx val="22"/>
              <c:tx>
                <c:strRef>
                  <c:f>[1]iScatter!$B$41</c:f>
                  <c:strCache>
                    <c:ptCount val="1"/>
                    <c:pt idx="0">
                      <c:v>Botswana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{03998FEE-7C1E-4DD4-ABBA-B8123E1D7909}</c15:txfldGUID>
                      <c15:f>[1]iScatter!$B$41</c15:f>
                      <c15:dlblFieldTableCache>
                        <c:ptCount val="1"/>
                        <c:pt idx="0">
                          <c:v>Botswana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A1AD-4FCE-9FAE-BE9B29C994DB}"/>
                </c:ext>
              </c:extLst>
            </c:dLbl>
            <c:dLbl>
              <c:idx val="23"/>
              <c:tx>
                <c:strRef>
                  <c:f>[1]iScatter!$B$42</c:f>
                  <c:strCache>
                    <c:ptCount val="1"/>
                    <c:pt idx="0">
                      <c:v>Brazil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{554A83EF-E2E7-42C7-A61A-76CA63745467}</c15:txfldGUID>
                      <c15:f>[1]iScatter!$B$42</c15:f>
                      <c15:dlblFieldTableCache>
                        <c:ptCount val="1"/>
                        <c:pt idx="0">
                          <c:v>Brazil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A1AD-4FCE-9FAE-BE9B29C994DB}"/>
                </c:ext>
              </c:extLst>
            </c:dLbl>
            <c:dLbl>
              <c:idx val="24"/>
              <c:tx>
                <c:strRef>
                  <c:f>[1]iScatter!$B$43</c:f>
                  <c:strCache>
                    <c:ptCount val="1"/>
                    <c:pt idx="0">
                      <c:v>Brunei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{92E0FA51-FEF1-45FC-AD52-7278321181E9}</c15:txfldGUID>
                      <c15:f>[1]iScatter!$B$43</c15:f>
                      <c15:dlblFieldTableCache>
                        <c:ptCount val="1"/>
                        <c:pt idx="0">
                          <c:v>Brunei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A1AD-4FCE-9FAE-BE9B29C994DB}"/>
                </c:ext>
              </c:extLst>
            </c:dLbl>
            <c:dLbl>
              <c:idx val="25"/>
              <c:tx>
                <c:strRef>
                  <c:f>[1]iScatter!$B$44</c:f>
                  <c:strCache>
                    <c:ptCount val="1"/>
                    <c:pt idx="0">
                      <c:v>Bulgaria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{64024CDA-2163-4457-B65D-28189C7124AF}</c15:txfldGUID>
                      <c15:f>[1]iScatter!$B$44</c15:f>
                      <c15:dlblFieldTableCache>
                        <c:ptCount val="1"/>
                        <c:pt idx="0">
                          <c:v>Bulgaria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A1AD-4FCE-9FAE-BE9B29C994DB}"/>
                </c:ext>
              </c:extLst>
            </c:dLbl>
            <c:dLbl>
              <c:idx val="26"/>
              <c:tx>
                <c:strRef>
                  <c:f>[1]iScatter!$B$45</c:f>
                  <c:strCache>
                    <c:ptCount val="1"/>
                    <c:pt idx="0">
                      <c:v>Burkina Faso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{7D500C54-4CF3-48BB-821A-7653BFB58E92}</c15:txfldGUID>
                      <c15:f>[1]iScatter!$B$45</c15:f>
                      <c15:dlblFieldTableCache>
                        <c:ptCount val="1"/>
                        <c:pt idx="0">
                          <c:v>Burkina Faso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A1AD-4FCE-9FAE-BE9B29C994DB}"/>
                </c:ext>
              </c:extLst>
            </c:dLbl>
            <c:dLbl>
              <c:idx val="27"/>
              <c:tx>
                <c:strRef>
                  <c:f>[1]iScatter!$B$46</c:f>
                  <c:strCache>
                    <c:ptCount val="1"/>
                    <c:pt idx="0">
                      <c:v>Burundi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{90F560CB-AD48-475A-BAF2-306EABFAD272}</c15:txfldGUID>
                      <c15:f>[1]iScatter!$B$46</c15:f>
                      <c15:dlblFieldTableCache>
                        <c:ptCount val="1"/>
                        <c:pt idx="0">
                          <c:v>Burundi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A1AD-4FCE-9FAE-BE9B29C994DB}"/>
                </c:ext>
              </c:extLst>
            </c:dLbl>
            <c:dLbl>
              <c:idx val="28"/>
              <c:tx>
                <c:strRef>
                  <c:f>[1]iScatter!$B$47</c:f>
                  <c:strCache>
                    <c:ptCount val="1"/>
                    <c:pt idx="0">
                      <c:v>Cabo Verde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{041B0720-E103-4209-8306-738382836D7E}</c15:txfldGUID>
                      <c15:f>[1]iScatter!$B$47</c15:f>
                      <c15:dlblFieldTableCache>
                        <c:ptCount val="1"/>
                        <c:pt idx="0">
                          <c:v>Cabo Verde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A1AD-4FCE-9FAE-BE9B29C994DB}"/>
                </c:ext>
              </c:extLst>
            </c:dLbl>
            <c:dLbl>
              <c:idx val="29"/>
              <c:tx>
                <c:strRef>
                  <c:f>[1]iScatter!$B$48</c:f>
                  <c:strCache>
                    <c:ptCount val="1"/>
                    <c:pt idx="0">
                      <c:v>Cambodia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{983557AA-434F-49C4-8747-1602EBBF6FC7}</c15:txfldGUID>
                      <c15:f>[1]iScatter!$B$48</c15:f>
                      <c15:dlblFieldTableCache>
                        <c:ptCount val="1"/>
                        <c:pt idx="0">
                          <c:v>Cambodia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A1AD-4FCE-9FAE-BE9B29C994DB}"/>
                </c:ext>
              </c:extLst>
            </c:dLbl>
            <c:dLbl>
              <c:idx val="30"/>
              <c:tx>
                <c:strRef>
                  <c:f>[1]iScatter!$B$49</c:f>
                  <c:strCache>
                    <c:ptCount val="1"/>
                    <c:pt idx="0">
                      <c:v>Cameroon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{B956E80D-69D3-493C-BD34-0FBB1532DF37}</c15:txfldGUID>
                      <c15:f>[1]iScatter!$B$49</c15:f>
                      <c15:dlblFieldTableCache>
                        <c:ptCount val="1"/>
                        <c:pt idx="0">
                          <c:v>Cameroon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A1AD-4FCE-9FAE-BE9B29C994DB}"/>
                </c:ext>
              </c:extLst>
            </c:dLbl>
            <c:dLbl>
              <c:idx val="31"/>
              <c:tx>
                <c:strRef>
                  <c:f>[1]iScatter!$B$50</c:f>
                  <c:strCache>
                    <c:ptCount val="1"/>
                    <c:pt idx="0">
                      <c:v>Canada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{F9BD7288-2DE1-4218-A1E5-4704EC2BB435}</c15:txfldGUID>
                      <c15:f>[1]iScatter!$B$50</c15:f>
                      <c15:dlblFieldTableCache>
                        <c:ptCount val="1"/>
                        <c:pt idx="0">
                          <c:v>Canada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A1AD-4FCE-9FAE-BE9B29C994DB}"/>
                </c:ext>
              </c:extLst>
            </c:dLbl>
            <c:dLbl>
              <c:idx val="32"/>
              <c:tx>
                <c:strRef>
                  <c:f>[1]iScatter!$B$51</c:f>
                  <c:strCache>
                    <c:ptCount val="1"/>
                    <c:pt idx="0">
                      <c:v>Central African Republic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{48CF518B-810F-49E5-90AE-9D2B0077EC1E}</c15:txfldGUID>
                      <c15:f>[1]iScatter!$B$51</c15:f>
                      <c15:dlblFieldTableCache>
                        <c:ptCount val="1"/>
                        <c:pt idx="0">
                          <c:v>Central African Republic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A1AD-4FCE-9FAE-BE9B29C994DB}"/>
                </c:ext>
              </c:extLst>
            </c:dLbl>
            <c:dLbl>
              <c:idx val="33"/>
              <c:tx>
                <c:strRef>
                  <c:f>[1]iScatter!$B$52</c:f>
                  <c:strCache>
                    <c:ptCount val="1"/>
                    <c:pt idx="0">
                      <c:v>Chad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{EB13FA26-00ED-4C3C-AB0D-59365B9C9EDA}</c15:txfldGUID>
                      <c15:f>[1]iScatter!$B$52</c15:f>
                      <c15:dlblFieldTableCache>
                        <c:ptCount val="1"/>
                        <c:pt idx="0">
                          <c:v>Chad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A1AD-4FCE-9FAE-BE9B29C994DB}"/>
                </c:ext>
              </c:extLst>
            </c:dLbl>
            <c:dLbl>
              <c:idx val="34"/>
              <c:tx>
                <c:strRef>
                  <c:f>[1]iScatter!$B$53</c:f>
                  <c:strCache>
                    <c:ptCount val="1"/>
                    <c:pt idx="0">
                      <c:v>Chile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{763D9652-2BD1-4F63-97F8-9633D2BE5D03}</c15:txfldGUID>
                      <c15:f>[1]iScatter!$B$53</c15:f>
                      <c15:dlblFieldTableCache>
                        <c:ptCount val="1"/>
                        <c:pt idx="0">
                          <c:v>Chile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A1AD-4FCE-9FAE-BE9B29C994DB}"/>
                </c:ext>
              </c:extLst>
            </c:dLbl>
            <c:dLbl>
              <c:idx val="35"/>
              <c:tx>
                <c:strRef>
                  <c:f>[1]iScatter!$B$54</c:f>
                  <c:strCache>
                    <c:ptCount val="1"/>
                    <c:pt idx="0">
                      <c:v>China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{163B9AA2-3351-41F6-993B-1035678D5705}</c15:txfldGUID>
                      <c15:f>[1]iScatter!$B$54</c15:f>
                      <c15:dlblFieldTableCache>
                        <c:ptCount val="1"/>
                        <c:pt idx="0">
                          <c:v>China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A1AD-4FCE-9FAE-BE9B29C994DB}"/>
                </c:ext>
              </c:extLst>
            </c:dLbl>
            <c:dLbl>
              <c:idx val="36"/>
              <c:tx>
                <c:strRef>
                  <c:f>[1]iScatter!$B$55</c:f>
                  <c:strCache>
                    <c:ptCount val="1"/>
                    <c:pt idx="0">
                      <c:v>Colombia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{5888B22B-D3A2-4A91-AC08-D56B3D808447}</c15:txfldGUID>
                      <c15:f>[1]iScatter!$B$55</c15:f>
                      <c15:dlblFieldTableCache>
                        <c:ptCount val="1"/>
                        <c:pt idx="0">
                          <c:v>Colombia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A1AD-4FCE-9FAE-BE9B29C994DB}"/>
                </c:ext>
              </c:extLst>
            </c:dLbl>
            <c:dLbl>
              <c:idx val="37"/>
              <c:tx>
                <c:strRef>
                  <c:f>[1]iScatter!$B$56</c:f>
                  <c:strCache>
                    <c:ptCount val="1"/>
                    <c:pt idx="0">
                      <c:v>Comoros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{8E0CDB5D-E97F-4BD6-BE41-AB0B43C0345D}</c15:txfldGUID>
                      <c15:f>[1]iScatter!$B$56</c15:f>
                      <c15:dlblFieldTableCache>
                        <c:ptCount val="1"/>
                        <c:pt idx="0">
                          <c:v>Comoros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A1AD-4FCE-9FAE-BE9B29C994DB}"/>
                </c:ext>
              </c:extLst>
            </c:dLbl>
            <c:dLbl>
              <c:idx val="38"/>
              <c:tx>
                <c:strRef>
                  <c:f>[1]iScatter!$B$57</c:f>
                  <c:strCache>
                    <c:ptCount val="1"/>
                    <c:pt idx="0">
                      <c:v>Congo (Brazzaville)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{CA43AB19-D173-4C27-AA5D-B5A9BDFB8419}</c15:txfldGUID>
                      <c15:f>[1]iScatter!$B$57</c15:f>
                      <c15:dlblFieldTableCache>
                        <c:ptCount val="1"/>
                        <c:pt idx="0">
                          <c:v>Congo (Brazzaville)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A1AD-4FCE-9FAE-BE9B29C994DB}"/>
                </c:ext>
              </c:extLst>
            </c:dLbl>
            <c:dLbl>
              <c:idx val="39"/>
              <c:tx>
                <c:strRef>
                  <c:f>[1]iScatter!$B$58</c:f>
                  <c:strCache>
                    <c:ptCount val="1"/>
                    <c:pt idx="0">
                      <c:v>Congo (Democratic Republic)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{FC2E8A1E-69D9-4BF2-BB97-1DC1EFD7EEAB}</c15:txfldGUID>
                      <c15:f>[1]iScatter!$B$58</c15:f>
                      <c15:dlblFieldTableCache>
                        <c:ptCount val="1"/>
                        <c:pt idx="0">
                          <c:v>Congo (Democratic Republic)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A1AD-4FCE-9FAE-BE9B29C994DB}"/>
                </c:ext>
              </c:extLst>
            </c:dLbl>
            <c:dLbl>
              <c:idx val="40"/>
              <c:tx>
                <c:strRef>
                  <c:f>[1]iScatter!$B$59</c:f>
                  <c:strCache>
                    <c:ptCount val="1"/>
                    <c:pt idx="0">
                      <c:v>Cook Islands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{07C4AD1E-CAF5-4128-9C58-49A1C5A90CCF}</c15:txfldGUID>
                      <c15:f>[1]iScatter!$B$59</c15:f>
                      <c15:dlblFieldTableCache>
                        <c:ptCount val="1"/>
                        <c:pt idx="0">
                          <c:v>Cook Islands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A1AD-4FCE-9FAE-BE9B29C994DB}"/>
                </c:ext>
              </c:extLst>
            </c:dLbl>
            <c:dLbl>
              <c:idx val="41"/>
              <c:tx>
                <c:strRef>
                  <c:f>[1]iScatter!$B$60</c:f>
                  <c:strCache>
                    <c:ptCount val="1"/>
                    <c:pt idx="0">
                      <c:v>Costa Rica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{DC9EA6E2-B458-4D4F-A440-3B83378BFC31}</c15:txfldGUID>
                      <c15:f>[1]iScatter!$B$60</c15:f>
                      <c15:dlblFieldTableCache>
                        <c:ptCount val="1"/>
                        <c:pt idx="0">
                          <c:v>Costa Rica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A1AD-4FCE-9FAE-BE9B29C994DB}"/>
                </c:ext>
              </c:extLst>
            </c:dLbl>
            <c:dLbl>
              <c:idx val="42"/>
              <c:tx>
                <c:strRef>
                  <c:f>[1]iScatter!$B$61</c:f>
                  <c:strCache>
                    <c:ptCount val="1"/>
                    <c:pt idx="0">
                      <c:v>Côte d'Ivoire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{AEF65A93-AD85-4380-98FE-10AE59433992}</c15:txfldGUID>
                      <c15:f>[1]iScatter!$B$61</c15:f>
                      <c15:dlblFieldTableCache>
                        <c:ptCount val="1"/>
                        <c:pt idx="0">
                          <c:v>Côte d'Ivoire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A1AD-4FCE-9FAE-BE9B29C994DB}"/>
                </c:ext>
              </c:extLst>
            </c:dLbl>
            <c:dLbl>
              <c:idx val="43"/>
              <c:tx>
                <c:strRef>
                  <c:f>[1]iScatter!$B$62</c:f>
                  <c:strCache>
                    <c:ptCount val="1"/>
                    <c:pt idx="0">
                      <c:v>Croatia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{D088C12D-DAD1-4CC3-AB33-C503B3ECAE3E}</c15:txfldGUID>
                      <c15:f>[1]iScatter!$B$62</c15:f>
                      <c15:dlblFieldTableCache>
                        <c:ptCount val="1"/>
                        <c:pt idx="0">
                          <c:v>Croatia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A1AD-4FCE-9FAE-BE9B29C994DB}"/>
                </c:ext>
              </c:extLst>
            </c:dLbl>
            <c:dLbl>
              <c:idx val="44"/>
              <c:tx>
                <c:strRef>
                  <c:f>[1]iScatter!$B$63</c:f>
                  <c:strCache>
                    <c:ptCount val="1"/>
                    <c:pt idx="0">
                      <c:v>Cuba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{5552D102-62D1-433B-A78A-CEDBADE28215}</c15:txfldGUID>
                      <c15:f>[1]iScatter!$B$63</c15:f>
                      <c15:dlblFieldTableCache>
                        <c:ptCount val="1"/>
                        <c:pt idx="0">
                          <c:v>Cuba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A1AD-4FCE-9FAE-BE9B29C994DB}"/>
                </c:ext>
              </c:extLst>
            </c:dLbl>
            <c:dLbl>
              <c:idx val="45"/>
              <c:tx>
                <c:strRef>
                  <c:f>[1]iScatter!$B$64</c:f>
                  <c:strCache>
                    <c:ptCount val="1"/>
                    <c:pt idx="0">
                      <c:v>Cyprus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{13F89152-B598-4094-B431-29B1F53ED90E}</c15:txfldGUID>
                      <c15:f>[1]iScatter!$B$64</c15:f>
                      <c15:dlblFieldTableCache>
                        <c:ptCount val="1"/>
                        <c:pt idx="0">
                          <c:v>Cyprus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A1AD-4FCE-9FAE-BE9B29C994DB}"/>
                </c:ext>
              </c:extLst>
            </c:dLbl>
            <c:dLbl>
              <c:idx val="46"/>
              <c:tx>
                <c:strRef>
                  <c:f>[1]iScatter!$B$65</c:f>
                  <c:strCache>
                    <c:ptCount val="1"/>
                    <c:pt idx="0">
                      <c:v>Czech Republic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{F79FA2FD-FBD5-4F0E-B47D-480FF4E4FB2D}</c15:txfldGUID>
                      <c15:f>[1]iScatter!$B$65</c15:f>
                      <c15:dlblFieldTableCache>
                        <c:ptCount val="1"/>
                        <c:pt idx="0">
                          <c:v>Czech Republic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A1AD-4FCE-9FAE-BE9B29C994DB}"/>
                </c:ext>
              </c:extLst>
            </c:dLbl>
            <c:dLbl>
              <c:idx val="47"/>
              <c:tx>
                <c:strRef>
                  <c:f>[1]iScatter!$B$66</c:f>
                  <c:strCache>
                    <c:ptCount val="1"/>
                    <c:pt idx="0">
                      <c:v>Denmark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{69D2E847-5CEA-43E5-91CE-3818E9D2CC9C}</c15:txfldGUID>
                      <c15:f>[1]iScatter!$B$66</c15:f>
                      <c15:dlblFieldTableCache>
                        <c:ptCount val="1"/>
                        <c:pt idx="0">
                          <c:v>Denmark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A1AD-4FCE-9FAE-BE9B29C994DB}"/>
                </c:ext>
              </c:extLst>
            </c:dLbl>
            <c:dLbl>
              <c:idx val="48"/>
              <c:tx>
                <c:strRef>
                  <c:f>[1]iScatter!$B$67</c:f>
                  <c:strCache>
                    <c:ptCount val="1"/>
                    <c:pt idx="0">
                      <c:v>Djibouti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{2301DBB5-9AE0-4B9C-9195-3E41C2735886}</c15:txfldGUID>
                      <c15:f>[1]iScatter!$B$67</c15:f>
                      <c15:dlblFieldTableCache>
                        <c:ptCount val="1"/>
                        <c:pt idx="0">
                          <c:v>Djibouti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A1AD-4FCE-9FAE-BE9B29C994DB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1AD-4FCE-9FAE-BE9B29C994DB}"/>
                </c:ext>
              </c:extLst>
            </c:dLbl>
            <c:dLbl>
              <c:idx val="50"/>
              <c:tx>
                <c:strRef>
                  <c:f>[1]iScatter!$B$69</c:f>
                  <c:strCache>
                    <c:ptCount val="1"/>
                    <c:pt idx="0">
                      <c:v>Dominican Republic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{230CBD7C-C4BB-4ACF-896F-40FE32FD0701}</c15:txfldGUID>
                      <c15:f>[1]iScatter!$B$69</c15:f>
                      <c15:dlblFieldTableCache>
                        <c:ptCount val="1"/>
                        <c:pt idx="0">
                          <c:v>Dominican Republic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A1AD-4FCE-9FAE-BE9B29C994DB}"/>
                </c:ext>
              </c:extLst>
            </c:dLbl>
            <c:dLbl>
              <c:idx val="51"/>
              <c:tx>
                <c:strRef>
                  <c:f>[1]iScatter!$B$70</c:f>
                  <c:strCache>
                    <c:ptCount val="1"/>
                    <c:pt idx="0">
                      <c:v>Ecuador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{CD517EEF-60EB-4BF7-8722-83F0F3745DAC}</c15:txfldGUID>
                      <c15:f>[1]iScatter!$B$70</c15:f>
                      <c15:dlblFieldTableCache>
                        <c:ptCount val="1"/>
                        <c:pt idx="0">
                          <c:v>Ecuador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A1AD-4FCE-9FAE-BE9B29C994DB}"/>
                </c:ext>
              </c:extLst>
            </c:dLbl>
            <c:dLbl>
              <c:idx val="52"/>
              <c:tx>
                <c:strRef>
                  <c:f>[1]iScatter!$B$71</c:f>
                  <c:strCache>
                    <c:ptCount val="1"/>
                    <c:pt idx="0">
                      <c:v>Egypt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{1967D66B-DCF8-4E85-A8C3-A1E6DF7EC4FD}</c15:txfldGUID>
                      <c15:f>[1]iScatter!$B$71</c15:f>
                      <c15:dlblFieldTableCache>
                        <c:ptCount val="1"/>
                        <c:pt idx="0">
                          <c:v>Egypt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A1AD-4FCE-9FAE-BE9B29C994DB}"/>
                </c:ext>
              </c:extLst>
            </c:dLbl>
            <c:dLbl>
              <c:idx val="53"/>
              <c:tx>
                <c:strRef>
                  <c:f>[1]iScatter!$B$72</c:f>
                  <c:strCache>
                    <c:ptCount val="1"/>
                    <c:pt idx="0">
                      <c:v>El Salvador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{40657323-AEA2-4745-AF14-77EFDCADBDB9}</c15:txfldGUID>
                      <c15:f>[1]iScatter!$B$72</c15:f>
                      <c15:dlblFieldTableCache>
                        <c:ptCount val="1"/>
                        <c:pt idx="0">
                          <c:v>El Salvador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A1AD-4FCE-9FAE-BE9B29C994DB}"/>
                </c:ext>
              </c:extLst>
            </c:dLbl>
            <c:dLbl>
              <c:idx val="54"/>
              <c:tx>
                <c:strRef>
                  <c:f>[1]iScatter!$B$73</c:f>
                  <c:strCache>
                    <c:ptCount val="1"/>
                    <c:pt idx="0">
                      <c:v>Equatorial Guinea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{2B0D1D7F-43B4-44F8-A9E2-81F902ECB74C}</c15:txfldGUID>
                      <c15:f>[1]iScatter!$B$73</c15:f>
                      <c15:dlblFieldTableCache>
                        <c:ptCount val="1"/>
                        <c:pt idx="0">
                          <c:v>Equatorial Guinea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A1AD-4FCE-9FAE-BE9B29C994DB}"/>
                </c:ext>
              </c:extLst>
            </c:dLbl>
            <c:dLbl>
              <c:idx val="55"/>
              <c:tx>
                <c:strRef>
                  <c:f>[1]iScatter!$B$74</c:f>
                  <c:strCache>
                    <c:ptCount val="1"/>
                    <c:pt idx="0">
                      <c:v>Eritrea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{59A181C4-FE45-400F-8F34-1AC946D388AE}</c15:txfldGUID>
                      <c15:f>[1]iScatter!$B$74</c15:f>
                      <c15:dlblFieldTableCache>
                        <c:ptCount val="1"/>
                        <c:pt idx="0">
                          <c:v>Eritrea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A1AD-4FCE-9FAE-BE9B29C994DB}"/>
                </c:ext>
              </c:extLst>
            </c:dLbl>
            <c:dLbl>
              <c:idx val="56"/>
              <c:tx>
                <c:strRef>
                  <c:f>[1]iScatter!$B$75</c:f>
                  <c:strCache>
                    <c:ptCount val="1"/>
                    <c:pt idx="0">
                      <c:v>Estonia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{342BFC61-551D-4AFD-962B-735FB2F6AE17}</c15:txfldGUID>
                      <c15:f>[1]iScatter!$B$75</c15:f>
                      <c15:dlblFieldTableCache>
                        <c:ptCount val="1"/>
                        <c:pt idx="0">
                          <c:v>Estonia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A1AD-4FCE-9FAE-BE9B29C994DB}"/>
                </c:ext>
              </c:extLst>
            </c:dLbl>
            <c:dLbl>
              <c:idx val="57"/>
              <c:tx>
                <c:strRef>
                  <c:f>[1]iScatter!$B$76</c:f>
                  <c:strCache>
                    <c:ptCount val="1"/>
                    <c:pt idx="0">
                      <c:v>eSwatini (Swaziland)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{D4478188-A9ED-4A0B-97B5-8E7007F49AA6}</c15:txfldGUID>
                      <c15:f>[1]iScatter!$B$76</c15:f>
                      <c15:dlblFieldTableCache>
                        <c:ptCount val="1"/>
                        <c:pt idx="0">
                          <c:v>eSwatini (Swaziland)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A1AD-4FCE-9FAE-BE9B29C994DB}"/>
                </c:ext>
              </c:extLst>
            </c:dLbl>
            <c:dLbl>
              <c:idx val="58"/>
              <c:tx>
                <c:strRef>
                  <c:f>[1]iScatter!$B$77</c:f>
                  <c:strCache>
                    <c:ptCount val="1"/>
                    <c:pt idx="0">
                      <c:v>Ethiopia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{8747C463-B5A0-4136-B899-EFF7AC43DE22}</c15:txfldGUID>
                      <c15:f>[1]iScatter!$B$77</c15:f>
                      <c15:dlblFieldTableCache>
                        <c:ptCount val="1"/>
                        <c:pt idx="0">
                          <c:v>Ethiopia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A1AD-4FCE-9FAE-BE9B29C994DB}"/>
                </c:ext>
              </c:extLst>
            </c:dLbl>
            <c:dLbl>
              <c:idx val="59"/>
              <c:tx>
                <c:strRef>
                  <c:f>[1]iScatter!$B$78</c:f>
                  <c:strCache>
                    <c:ptCount val="1"/>
                    <c:pt idx="0">
                      <c:v>Fiji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{49A194EE-BE17-42E8-B45B-4488C65F3FAE}</c15:txfldGUID>
                      <c15:f>[1]iScatter!$B$78</c15:f>
                      <c15:dlblFieldTableCache>
                        <c:ptCount val="1"/>
                        <c:pt idx="0">
                          <c:v>Fiji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A1AD-4FCE-9FAE-BE9B29C994DB}"/>
                </c:ext>
              </c:extLst>
            </c:dLbl>
            <c:dLbl>
              <c:idx val="60"/>
              <c:tx>
                <c:strRef>
                  <c:f>[1]iScatter!$B$79</c:f>
                  <c:strCache>
                    <c:ptCount val="1"/>
                    <c:pt idx="0">
                      <c:v>Finland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{ABF7969F-D4AE-4AD6-90B1-BFF51167BA68}</c15:txfldGUID>
                      <c15:f>[1]iScatter!$B$79</c15:f>
                      <c15:dlblFieldTableCache>
                        <c:ptCount val="1"/>
                        <c:pt idx="0">
                          <c:v>Finland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A1AD-4FCE-9FAE-BE9B29C994DB}"/>
                </c:ext>
              </c:extLst>
            </c:dLbl>
            <c:dLbl>
              <c:idx val="61"/>
              <c:tx>
                <c:strRef>
                  <c:f>[1]iScatter!$B$80</c:f>
                  <c:strCache>
                    <c:ptCount val="1"/>
                    <c:pt idx="0">
                      <c:v>France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{7462A7E5-E7C4-4EA1-8FE4-401EED56BF04}</c15:txfldGUID>
                      <c15:f>[1]iScatter!$B$80</c15:f>
                      <c15:dlblFieldTableCache>
                        <c:ptCount val="1"/>
                        <c:pt idx="0">
                          <c:v>France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A1AD-4FCE-9FAE-BE9B29C994DB}"/>
                </c:ext>
              </c:extLst>
            </c:dLbl>
            <c:dLbl>
              <c:idx val="62"/>
              <c:tx>
                <c:strRef>
                  <c:f>[1]iScatter!$B$81</c:f>
                  <c:strCache>
                    <c:ptCount val="1"/>
                    <c:pt idx="0">
                      <c:v>Gabon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{15FEECE1-1C2D-4D05-957F-4072205E5FCB}</c15:txfldGUID>
                      <c15:f>[1]iScatter!$B$81</c15:f>
                      <c15:dlblFieldTableCache>
                        <c:ptCount val="1"/>
                        <c:pt idx="0">
                          <c:v>Gabon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A1AD-4FCE-9FAE-BE9B29C994DB}"/>
                </c:ext>
              </c:extLst>
            </c:dLbl>
            <c:dLbl>
              <c:idx val="63"/>
              <c:tx>
                <c:strRef>
                  <c:f>[1]iScatter!$B$82</c:f>
                  <c:strCache>
                    <c:ptCount val="1"/>
                    <c:pt idx="0">
                      <c:v>Gambia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{06F9BF67-CC63-42E5-8571-33798C66B43E}</c15:txfldGUID>
                      <c15:f>[1]iScatter!$B$82</c15:f>
                      <c15:dlblFieldTableCache>
                        <c:ptCount val="1"/>
                        <c:pt idx="0">
                          <c:v>Gambia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A1AD-4FCE-9FAE-BE9B29C994DB}"/>
                </c:ext>
              </c:extLst>
            </c:dLbl>
            <c:dLbl>
              <c:idx val="64"/>
              <c:tx>
                <c:strRef>
                  <c:f>[1]iScatter!$B$83</c:f>
                  <c:strCache>
                    <c:ptCount val="1"/>
                    <c:pt idx="0">
                      <c:v>Georgia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{2AD4CE27-FB74-4257-8F04-1DE26760B3C1}</c15:txfldGUID>
                      <c15:f>[1]iScatter!$B$83</c15:f>
                      <c15:dlblFieldTableCache>
                        <c:ptCount val="1"/>
                        <c:pt idx="0">
                          <c:v>Georgia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A1AD-4FCE-9FAE-BE9B29C994DB}"/>
                </c:ext>
              </c:extLst>
            </c:dLbl>
            <c:dLbl>
              <c:idx val="65"/>
              <c:tx>
                <c:strRef>
                  <c:f>[1]iScatter!$B$84</c:f>
                  <c:strCache>
                    <c:ptCount val="1"/>
                    <c:pt idx="0">
                      <c:v>Germany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{C325B88B-EFCD-4F39-9CAD-4E5B35FFB604}</c15:txfldGUID>
                      <c15:f>[1]iScatter!$B$84</c15:f>
                      <c15:dlblFieldTableCache>
                        <c:ptCount val="1"/>
                        <c:pt idx="0">
                          <c:v>Germany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A1AD-4FCE-9FAE-BE9B29C994DB}"/>
                </c:ext>
              </c:extLst>
            </c:dLbl>
            <c:dLbl>
              <c:idx val="66"/>
              <c:tx>
                <c:strRef>
                  <c:f>[1]iScatter!$B$85</c:f>
                  <c:strCache>
                    <c:ptCount val="1"/>
                    <c:pt idx="0">
                      <c:v>Ghana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{8D7BE28C-DE8A-4881-80BC-B6C6E70F39E2}</c15:txfldGUID>
                      <c15:f>[1]iScatter!$B$85</c15:f>
                      <c15:dlblFieldTableCache>
                        <c:ptCount val="1"/>
                        <c:pt idx="0">
                          <c:v>Ghana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A1AD-4FCE-9FAE-BE9B29C994DB}"/>
                </c:ext>
              </c:extLst>
            </c:dLbl>
            <c:dLbl>
              <c:idx val="67"/>
              <c:tx>
                <c:strRef>
                  <c:f>[1]iScatter!$B$86</c:f>
                  <c:strCache>
                    <c:ptCount val="1"/>
                    <c:pt idx="0">
                      <c:v>Greece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{532D6E93-2ADD-4D01-A1B5-70F408264489}</c15:txfldGUID>
                      <c15:f>[1]iScatter!$B$86</c15:f>
                      <c15:dlblFieldTableCache>
                        <c:ptCount val="1"/>
                        <c:pt idx="0">
                          <c:v>Greece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A1AD-4FCE-9FAE-BE9B29C994DB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1AD-4FCE-9FAE-BE9B29C994DB}"/>
                </c:ext>
              </c:extLst>
            </c:dLbl>
            <c:dLbl>
              <c:idx val="69"/>
              <c:tx>
                <c:strRef>
                  <c:f>[1]iScatter!$B$88</c:f>
                  <c:strCache>
                    <c:ptCount val="1"/>
                    <c:pt idx="0">
                      <c:v>Guatemala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{8E7691D7-D3DD-4688-99D0-B606747FB7BD}</c15:txfldGUID>
                      <c15:f>[1]iScatter!$B$88</c15:f>
                      <c15:dlblFieldTableCache>
                        <c:ptCount val="1"/>
                        <c:pt idx="0">
                          <c:v>Guatemala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A1AD-4FCE-9FAE-BE9B29C994DB}"/>
                </c:ext>
              </c:extLst>
            </c:dLbl>
            <c:dLbl>
              <c:idx val="70"/>
              <c:tx>
                <c:strRef>
                  <c:f>[1]iScatter!$B$89</c:f>
                  <c:strCache>
                    <c:ptCount val="1"/>
                    <c:pt idx="0">
                      <c:v>Guinea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{7FE9335D-7BF1-4246-8A7E-0D12EC285A0E}</c15:txfldGUID>
                      <c15:f>[1]iScatter!$B$89</c15:f>
                      <c15:dlblFieldTableCache>
                        <c:ptCount val="1"/>
                        <c:pt idx="0">
                          <c:v>Guinea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A1AD-4FCE-9FAE-BE9B29C994DB}"/>
                </c:ext>
              </c:extLst>
            </c:dLbl>
            <c:dLbl>
              <c:idx val="71"/>
              <c:tx>
                <c:strRef>
                  <c:f>[1]iScatter!$B$90</c:f>
                  <c:strCache>
                    <c:ptCount val="1"/>
                    <c:pt idx="0">
                      <c:v>Guinea-Bissau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{799DCE5B-3CC3-40D5-8056-F7907DA7BDED}</c15:txfldGUID>
                      <c15:f>[1]iScatter!$B$90</c15:f>
                      <c15:dlblFieldTableCache>
                        <c:ptCount val="1"/>
                        <c:pt idx="0">
                          <c:v>Guinea-Bissau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A1AD-4FCE-9FAE-BE9B29C994DB}"/>
                </c:ext>
              </c:extLst>
            </c:dLbl>
            <c:dLbl>
              <c:idx val="72"/>
              <c:tx>
                <c:strRef>
                  <c:f>[1]iScatter!$B$91</c:f>
                  <c:strCache>
                    <c:ptCount val="1"/>
                    <c:pt idx="0">
                      <c:v>Guyana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{B66003EB-1065-49CB-B5B5-2D1BB7291E4C}</c15:txfldGUID>
                      <c15:f>[1]iScatter!$B$91</c15:f>
                      <c15:dlblFieldTableCache>
                        <c:ptCount val="1"/>
                        <c:pt idx="0">
                          <c:v>Guyana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A1AD-4FCE-9FAE-BE9B29C994DB}"/>
                </c:ext>
              </c:extLst>
            </c:dLbl>
            <c:dLbl>
              <c:idx val="73"/>
              <c:tx>
                <c:strRef>
                  <c:f>[1]iScatter!$B$92</c:f>
                  <c:strCache>
                    <c:ptCount val="1"/>
                    <c:pt idx="0">
                      <c:v>Haiti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{D873BB32-430E-4AC3-8425-FD11A3E5BB48}</c15:txfldGUID>
                      <c15:f>[1]iScatter!$B$92</c15:f>
                      <c15:dlblFieldTableCache>
                        <c:ptCount val="1"/>
                        <c:pt idx="0">
                          <c:v>Haiti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A1AD-4FCE-9FAE-BE9B29C994DB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A1AD-4FCE-9FAE-BE9B29C994DB}"/>
                </c:ext>
              </c:extLst>
            </c:dLbl>
            <c:dLbl>
              <c:idx val="75"/>
              <c:tx>
                <c:strRef>
                  <c:f>[1]iScatter!$B$94</c:f>
                  <c:strCache>
                    <c:ptCount val="1"/>
                    <c:pt idx="0">
                      <c:v>Hungary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{D7D6C6FB-CE08-43C7-BC3A-DFC26B764B45}</c15:txfldGUID>
                      <c15:f>[1]iScatter!$B$94</c15:f>
                      <c15:dlblFieldTableCache>
                        <c:ptCount val="1"/>
                        <c:pt idx="0">
                          <c:v>Hungary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A1AD-4FCE-9FAE-BE9B29C994DB}"/>
                </c:ext>
              </c:extLst>
            </c:dLbl>
            <c:dLbl>
              <c:idx val="76"/>
              <c:tx>
                <c:strRef>
                  <c:f>[1]iScatter!$B$95</c:f>
                  <c:strCache>
                    <c:ptCount val="1"/>
                    <c:pt idx="0">
                      <c:v>Iceland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{84A6DDBB-D49F-4BFA-B04B-91A9C611ED10}</c15:txfldGUID>
                      <c15:f>[1]iScatter!$B$95</c15:f>
                      <c15:dlblFieldTableCache>
                        <c:ptCount val="1"/>
                        <c:pt idx="0">
                          <c:v>Iceland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A1AD-4FCE-9FAE-BE9B29C994DB}"/>
                </c:ext>
              </c:extLst>
            </c:dLbl>
            <c:dLbl>
              <c:idx val="77"/>
              <c:tx>
                <c:strRef>
                  <c:f>[1]iScatter!$B$96</c:f>
                  <c:strCache>
                    <c:ptCount val="1"/>
                    <c:pt idx="0">
                      <c:v>India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{2F5455CE-09BE-4624-942C-9AD59744EFAB}</c15:txfldGUID>
                      <c15:f>[1]iScatter!$B$96</c15:f>
                      <c15:dlblFieldTableCache>
                        <c:ptCount val="1"/>
                        <c:pt idx="0">
                          <c:v>India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A1AD-4FCE-9FAE-BE9B29C994DB}"/>
                </c:ext>
              </c:extLst>
            </c:dLbl>
            <c:dLbl>
              <c:idx val="78"/>
              <c:tx>
                <c:strRef>
                  <c:f>[1]iScatter!$B$97</c:f>
                  <c:strCache>
                    <c:ptCount val="1"/>
                    <c:pt idx="0">
                      <c:v>Indonesia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{A9BB007B-A130-400E-AC87-86F183E1BF4C}</c15:txfldGUID>
                      <c15:f>[1]iScatter!$B$97</c15:f>
                      <c15:dlblFieldTableCache>
                        <c:ptCount val="1"/>
                        <c:pt idx="0">
                          <c:v>Indonesia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A1AD-4FCE-9FAE-BE9B29C994DB}"/>
                </c:ext>
              </c:extLst>
            </c:dLbl>
            <c:dLbl>
              <c:idx val="79"/>
              <c:tx>
                <c:strRef>
                  <c:f>[1]iScatter!$B$98</c:f>
                  <c:strCache>
                    <c:ptCount val="1"/>
                    <c:pt idx="0">
                      <c:v>Iran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{29AD6236-222B-440F-8860-96DCD858F64F}</c15:txfldGUID>
                      <c15:f>[1]iScatter!$B$98</c15:f>
                      <c15:dlblFieldTableCache>
                        <c:ptCount val="1"/>
                        <c:pt idx="0">
                          <c:v>Iran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A1AD-4FCE-9FAE-BE9B29C994DB}"/>
                </c:ext>
              </c:extLst>
            </c:dLbl>
            <c:dLbl>
              <c:idx val="80"/>
              <c:tx>
                <c:strRef>
                  <c:f>[1]iScatter!$B$99</c:f>
                  <c:strCache>
                    <c:ptCount val="1"/>
                    <c:pt idx="0">
                      <c:v>Iraq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{62B159DC-D1A2-4C0A-A993-46EF8F13F4CD}</c15:txfldGUID>
                      <c15:f>[1]iScatter!$B$99</c15:f>
                      <c15:dlblFieldTableCache>
                        <c:ptCount val="1"/>
                        <c:pt idx="0">
                          <c:v>Iraq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B-A1AD-4FCE-9FAE-BE9B29C994DB}"/>
                </c:ext>
              </c:extLst>
            </c:dLbl>
            <c:dLbl>
              <c:idx val="81"/>
              <c:tx>
                <c:strRef>
                  <c:f>[1]iScatter!$B$100</c:f>
                  <c:strCache>
                    <c:ptCount val="1"/>
                    <c:pt idx="0">
                      <c:v>Ireland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{3ACCEAFA-EE3B-4E19-BA52-6EF7B5888F49}</c15:txfldGUID>
                      <c15:f>[1]iScatter!$B$100</c15:f>
                      <c15:dlblFieldTableCache>
                        <c:ptCount val="1"/>
                        <c:pt idx="0">
                          <c:v>Ireland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C-A1AD-4FCE-9FAE-BE9B29C994DB}"/>
                </c:ext>
              </c:extLst>
            </c:dLbl>
            <c:dLbl>
              <c:idx val="82"/>
              <c:tx>
                <c:strRef>
                  <c:f>[1]iScatter!$B$101</c:f>
                  <c:strCache>
                    <c:ptCount val="1"/>
                    <c:pt idx="0">
                      <c:v>Israel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{D2584BED-8766-4F85-8E98-0E8455B21E9B}</c15:txfldGUID>
                      <c15:f>[1]iScatter!$B$101</c15:f>
                      <c15:dlblFieldTableCache>
                        <c:ptCount val="1"/>
                        <c:pt idx="0">
                          <c:v>Israel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D-A1AD-4FCE-9FAE-BE9B29C994DB}"/>
                </c:ext>
              </c:extLst>
            </c:dLbl>
            <c:dLbl>
              <c:idx val="83"/>
              <c:tx>
                <c:strRef>
                  <c:f>[1]iScatter!$B$102</c:f>
                  <c:strCache>
                    <c:ptCount val="1"/>
                    <c:pt idx="0">
                      <c:v>Italy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{A782741D-C122-44C5-B770-21A5EC12DE9E}</c15:txfldGUID>
                      <c15:f>[1]iScatter!$B$102</c15:f>
                      <c15:dlblFieldTableCache>
                        <c:ptCount val="1"/>
                        <c:pt idx="0">
                          <c:v>Italy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E-A1AD-4FCE-9FAE-BE9B29C994DB}"/>
                </c:ext>
              </c:extLst>
            </c:dLbl>
            <c:dLbl>
              <c:idx val="8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A1AD-4FCE-9FAE-BE9B29C994DB}"/>
                </c:ext>
              </c:extLst>
            </c:dLbl>
            <c:dLbl>
              <c:idx val="85"/>
              <c:tx>
                <c:strRef>
                  <c:f>[1]iScatter!$B$104</c:f>
                  <c:strCache>
                    <c:ptCount val="1"/>
                    <c:pt idx="0">
                      <c:v>Japan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{F08B2A65-5924-4FA2-AB51-1C70A29E2E94}</c15:txfldGUID>
                      <c15:f>[1]iScatter!$B$104</c15:f>
                      <c15:dlblFieldTableCache>
                        <c:ptCount val="1"/>
                        <c:pt idx="0">
                          <c:v>Japan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0-A1AD-4FCE-9FAE-BE9B29C994DB}"/>
                </c:ext>
              </c:extLst>
            </c:dLbl>
            <c:dLbl>
              <c:idx val="86"/>
              <c:tx>
                <c:strRef>
                  <c:f>[1]iScatter!$B$105</c:f>
                  <c:strCache>
                    <c:ptCount val="1"/>
                    <c:pt idx="0">
                      <c:v>Jordan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{9C6C6339-2E25-48D0-827F-1D05DDC314CA}</c15:txfldGUID>
                      <c15:f>[1]iScatter!$B$105</c15:f>
                      <c15:dlblFieldTableCache>
                        <c:ptCount val="1"/>
                        <c:pt idx="0">
                          <c:v>Jordan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1-A1AD-4FCE-9FAE-BE9B29C994DB}"/>
                </c:ext>
              </c:extLst>
            </c:dLbl>
            <c:dLbl>
              <c:idx val="87"/>
              <c:tx>
                <c:strRef>
                  <c:f>[1]iScatter!$B$106</c:f>
                  <c:strCache>
                    <c:ptCount val="1"/>
                    <c:pt idx="0">
                      <c:v>Kazakhstan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{C331344B-28A3-4933-979F-A267B810707D}</c15:txfldGUID>
                      <c15:f>[1]iScatter!$B$106</c15:f>
                      <c15:dlblFieldTableCache>
                        <c:ptCount val="1"/>
                        <c:pt idx="0">
                          <c:v>Kazakhstan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2-A1AD-4FCE-9FAE-BE9B29C994DB}"/>
                </c:ext>
              </c:extLst>
            </c:dLbl>
            <c:dLbl>
              <c:idx val="88"/>
              <c:tx>
                <c:strRef>
                  <c:f>[1]iScatter!$B$107</c:f>
                  <c:strCache>
                    <c:ptCount val="1"/>
                    <c:pt idx="0">
                      <c:v>Kenya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{FE5B5169-DF2B-47D9-B0AE-821870499445}</c15:txfldGUID>
                      <c15:f>[1]iScatter!$B$107</c15:f>
                      <c15:dlblFieldTableCache>
                        <c:ptCount val="1"/>
                        <c:pt idx="0">
                          <c:v>Kenya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3-A1AD-4FCE-9FAE-BE9B29C994DB}"/>
                </c:ext>
              </c:extLst>
            </c:dLbl>
            <c:dLbl>
              <c:idx val="89"/>
              <c:tx>
                <c:strRef>
                  <c:f>[1]iScatter!$B$108</c:f>
                  <c:strCache>
                    <c:ptCount val="1"/>
                    <c:pt idx="0">
                      <c:v>Kiribati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{C9B65FD9-1333-45CA-9027-AD58840A8C56}</c15:txfldGUID>
                      <c15:f>[1]iScatter!$B$108</c15:f>
                      <c15:dlblFieldTableCache>
                        <c:ptCount val="1"/>
                        <c:pt idx="0">
                          <c:v>Kiribati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4-A1AD-4FCE-9FAE-BE9B29C994DB}"/>
                </c:ext>
              </c:extLst>
            </c:dLbl>
            <c:dLbl>
              <c:idx val="90"/>
              <c:tx>
                <c:strRef>
                  <c:f>[1]iScatter!$B$109</c:f>
                  <c:strCache>
                    <c:ptCount val="1"/>
                    <c:pt idx="0">
                      <c:v>Kuwait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{452F816E-0D02-4A7E-B242-777147A1EAAB}</c15:txfldGUID>
                      <c15:f>[1]iScatter!$B$109</c15:f>
                      <c15:dlblFieldTableCache>
                        <c:ptCount val="1"/>
                        <c:pt idx="0">
                          <c:v>Kuwait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5-A1AD-4FCE-9FAE-BE9B29C994DB}"/>
                </c:ext>
              </c:extLst>
            </c:dLbl>
            <c:dLbl>
              <c:idx val="91"/>
              <c:tx>
                <c:strRef>
                  <c:f>[1]iScatter!$B$110</c:f>
                  <c:strCache>
                    <c:ptCount val="1"/>
                    <c:pt idx="0">
                      <c:v>Kyrgyz Republic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{8BD452EC-9F79-48A7-BD8F-6CD235670EFB}</c15:txfldGUID>
                      <c15:f>[1]iScatter!$B$110</c15:f>
                      <c15:dlblFieldTableCache>
                        <c:ptCount val="1"/>
                        <c:pt idx="0">
                          <c:v>Kyrgyz Republic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6-A1AD-4FCE-9FAE-BE9B29C994DB}"/>
                </c:ext>
              </c:extLst>
            </c:dLbl>
            <c:dLbl>
              <c:idx val="92"/>
              <c:tx>
                <c:strRef>
                  <c:f>[1]iScatter!$B$111</c:f>
                  <c:strCache>
                    <c:ptCount val="1"/>
                    <c:pt idx="0">
                      <c:v>Laos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{461CD7F9-D91C-4952-BCDA-2546A1241625}</c15:txfldGUID>
                      <c15:f>[1]iScatter!$B$111</c15:f>
                      <c15:dlblFieldTableCache>
                        <c:ptCount val="1"/>
                        <c:pt idx="0">
                          <c:v>Laos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7-A1AD-4FCE-9FAE-BE9B29C994DB}"/>
                </c:ext>
              </c:extLst>
            </c:dLbl>
            <c:dLbl>
              <c:idx val="93"/>
              <c:tx>
                <c:strRef>
                  <c:f>[1]iScatter!$B$112</c:f>
                  <c:strCache>
                    <c:ptCount val="1"/>
                    <c:pt idx="0">
                      <c:v>Latvia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{C831F74D-D571-4CC6-A3A2-FB46F567A7CA}</c15:txfldGUID>
                      <c15:f>[1]iScatter!$B$112</c15:f>
                      <c15:dlblFieldTableCache>
                        <c:ptCount val="1"/>
                        <c:pt idx="0">
                          <c:v>Latvia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8-A1AD-4FCE-9FAE-BE9B29C994DB}"/>
                </c:ext>
              </c:extLst>
            </c:dLbl>
            <c:dLbl>
              <c:idx val="94"/>
              <c:tx>
                <c:strRef>
                  <c:f>[1]iScatter!$B$113</c:f>
                  <c:strCache>
                    <c:ptCount val="1"/>
                    <c:pt idx="0">
                      <c:v>Lebanon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{D0943A80-41D8-496C-9932-E4633565D4FB}</c15:txfldGUID>
                      <c15:f>[1]iScatter!$B$113</c15:f>
                      <c15:dlblFieldTableCache>
                        <c:ptCount val="1"/>
                        <c:pt idx="0">
                          <c:v>Lebanon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9-A1AD-4FCE-9FAE-BE9B29C994DB}"/>
                </c:ext>
              </c:extLst>
            </c:dLbl>
            <c:dLbl>
              <c:idx val="95"/>
              <c:tx>
                <c:strRef>
                  <c:f>[1]iScatter!$B$114</c:f>
                  <c:strCache>
                    <c:ptCount val="1"/>
                    <c:pt idx="0">
                      <c:v>Lesotho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{DFEB529B-DBF6-4FC8-A796-5AA9C01791E5}</c15:txfldGUID>
                      <c15:f>[1]iScatter!$B$114</c15:f>
                      <c15:dlblFieldTableCache>
                        <c:ptCount val="1"/>
                        <c:pt idx="0">
                          <c:v>Lesotho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A-A1AD-4FCE-9FAE-BE9B29C994DB}"/>
                </c:ext>
              </c:extLst>
            </c:dLbl>
            <c:dLbl>
              <c:idx val="96"/>
              <c:tx>
                <c:strRef>
                  <c:f>[1]iScatter!$B$115</c:f>
                  <c:strCache>
                    <c:ptCount val="1"/>
                    <c:pt idx="0">
                      <c:v>Liberia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{A3A5A5BE-0440-4F1C-91B0-931BA351461F}</c15:txfldGUID>
                      <c15:f>[1]iScatter!$B$115</c15:f>
                      <c15:dlblFieldTableCache>
                        <c:ptCount val="1"/>
                        <c:pt idx="0">
                          <c:v>Liberia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B-A1AD-4FCE-9FAE-BE9B29C994DB}"/>
                </c:ext>
              </c:extLst>
            </c:dLbl>
            <c:dLbl>
              <c:idx val="97"/>
              <c:tx>
                <c:strRef>
                  <c:f>[1]iScatter!$B$116</c:f>
                  <c:strCache>
                    <c:ptCount val="1"/>
                    <c:pt idx="0">
                      <c:v>Libya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{B4F7B864-A2F6-4638-B3E4-D8C085291212}</c15:txfldGUID>
                      <c15:f>[1]iScatter!$B$116</c15:f>
                      <c15:dlblFieldTableCache>
                        <c:ptCount val="1"/>
                        <c:pt idx="0">
                          <c:v>Libya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C-A1AD-4FCE-9FAE-BE9B29C994DB}"/>
                </c:ext>
              </c:extLst>
            </c:dLbl>
            <c:dLbl>
              <c:idx val="98"/>
              <c:tx>
                <c:strRef>
                  <c:f>[1]iScatter!$B$117</c:f>
                  <c:strCache>
                    <c:ptCount val="1"/>
                    <c:pt idx="0">
                      <c:v>Liechtenstein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{3182F7F1-F2E9-4FA4-8669-00D12AD79EB4}</c15:txfldGUID>
                      <c15:f>[1]iScatter!$B$117</c15:f>
                      <c15:dlblFieldTableCache>
                        <c:ptCount val="1"/>
                        <c:pt idx="0">
                          <c:v>Liechtenstein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D-A1AD-4FCE-9FAE-BE9B29C994DB}"/>
                </c:ext>
              </c:extLst>
            </c:dLbl>
            <c:dLbl>
              <c:idx val="99"/>
              <c:tx>
                <c:strRef>
                  <c:f>[1]iScatter!$B$118</c:f>
                  <c:strCache>
                    <c:ptCount val="1"/>
                    <c:pt idx="0">
                      <c:v>Lithuania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{8B93C3BF-04CD-4870-86CB-26AD21DE74BD}</c15:txfldGUID>
                      <c15:f>[1]iScatter!$B$118</c15:f>
                      <c15:dlblFieldTableCache>
                        <c:ptCount val="1"/>
                        <c:pt idx="0">
                          <c:v>Lithuania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E-A1AD-4FCE-9FAE-BE9B29C994DB}"/>
                </c:ext>
              </c:extLst>
            </c:dLbl>
            <c:dLbl>
              <c:idx val="100"/>
              <c:tx>
                <c:strRef>
                  <c:f>[1]iScatter!$B$119</c:f>
                  <c:strCache>
                    <c:ptCount val="1"/>
                    <c:pt idx="0">
                      <c:v>Luxembourg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{584E661E-BAC7-470C-82FE-0752D86BEF36}</c15:txfldGUID>
                      <c15:f>[1]iScatter!$B$119</c15:f>
                      <c15:dlblFieldTableCache>
                        <c:ptCount val="1"/>
                        <c:pt idx="0">
                          <c:v>Luxembourg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6F-A1AD-4FCE-9FAE-BE9B29C994DB}"/>
                </c:ext>
              </c:extLst>
            </c:dLbl>
            <c:dLbl>
              <c:idx val="101"/>
              <c:tx>
                <c:strRef>
                  <c:f>[1]iScatter!$B$120</c:f>
                  <c:strCache>
                    <c:ptCount val="1"/>
                    <c:pt idx="0">
                      <c:v>Madagascar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{B380FE25-AE4B-42B6-8313-59C5FA214DBA}</c15:txfldGUID>
                      <c15:f>[1]iScatter!$B$120</c15:f>
                      <c15:dlblFieldTableCache>
                        <c:ptCount val="1"/>
                        <c:pt idx="0">
                          <c:v>Madagascar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0-A1AD-4FCE-9FAE-BE9B29C994DB}"/>
                </c:ext>
              </c:extLst>
            </c:dLbl>
            <c:dLbl>
              <c:idx val="102"/>
              <c:tx>
                <c:strRef>
                  <c:f>[1]iScatter!$B$121</c:f>
                  <c:strCache>
                    <c:ptCount val="1"/>
                    <c:pt idx="0">
                      <c:v>Malawi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{A394CCEA-721A-4AD5-9D8C-5E1477C06DBE}</c15:txfldGUID>
                      <c15:f>[1]iScatter!$B$121</c15:f>
                      <c15:dlblFieldTableCache>
                        <c:ptCount val="1"/>
                        <c:pt idx="0">
                          <c:v>Malawi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1-A1AD-4FCE-9FAE-BE9B29C994DB}"/>
                </c:ext>
              </c:extLst>
            </c:dLbl>
            <c:dLbl>
              <c:idx val="103"/>
              <c:tx>
                <c:strRef>
                  <c:f>[1]iScatter!$B$122</c:f>
                  <c:strCache>
                    <c:ptCount val="1"/>
                    <c:pt idx="0">
                      <c:v>Malaysia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{4C6261A0-4E53-4163-8149-22EAF6670CF9}</c15:txfldGUID>
                      <c15:f>[1]iScatter!$B$122</c15:f>
                      <c15:dlblFieldTableCache>
                        <c:ptCount val="1"/>
                        <c:pt idx="0">
                          <c:v>Malaysia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2-A1AD-4FCE-9FAE-BE9B29C994DB}"/>
                </c:ext>
              </c:extLst>
            </c:dLbl>
            <c:dLbl>
              <c:idx val="104"/>
              <c:tx>
                <c:strRef>
                  <c:f>[1]iScatter!$B$123</c:f>
                  <c:strCache>
                    <c:ptCount val="1"/>
                    <c:pt idx="0">
                      <c:v>Maldives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{D9BD0713-A8EA-4236-AC24-4BE07C3555DA}</c15:txfldGUID>
                      <c15:f>[1]iScatter!$B$123</c15:f>
                      <c15:dlblFieldTableCache>
                        <c:ptCount val="1"/>
                        <c:pt idx="0">
                          <c:v>Maldives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3-A1AD-4FCE-9FAE-BE9B29C994DB}"/>
                </c:ext>
              </c:extLst>
            </c:dLbl>
            <c:dLbl>
              <c:idx val="105"/>
              <c:tx>
                <c:strRef>
                  <c:f>[1]iScatter!$B$124</c:f>
                  <c:strCache>
                    <c:ptCount val="1"/>
                    <c:pt idx="0">
                      <c:v>Mali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{620604FD-75C9-44FF-B8D7-992D12B11CC8}</c15:txfldGUID>
                      <c15:f>[1]iScatter!$B$124</c15:f>
                      <c15:dlblFieldTableCache>
                        <c:ptCount val="1"/>
                        <c:pt idx="0">
                          <c:v>Mali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4-A1AD-4FCE-9FAE-BE9B29C994DB}"/>
                </c:ext>
              </c:extLst>
            </c:dLbl>
            <c:dLbl>
              <c:idx val="106"/>
              <c:tx>
                <c:strRef>
                  <c:f>[1]iScatter!$B$125</c:f>
                  <c:strCache>
                    <c:ptCount val="1"/>
                    <c:pt idx="0">
                      <c:v>Malta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{F19F6164-7A7A-4D6C-BD3C-EEEEE34F08D7}</c15:txfldGUID>
                      <c15:f>[1]iScatter!$B$125</c15:f>
                      <c15:dlblFieldTableCache>
                        <c:ptCount val="1"/>
                        <c:pt idx="0">
                          <c:v>Malta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5-A1AD-4FCE-9FAE-BE9B29C994DB}"/>
                </c:ext>
              </c:extLst>
            </c:dLbl>
            <c:dLbl>
              <c:idx val="107"/>
              <c:tx>
                <c:strRef>
                  <c:f>[1]iScatter!$B$126</c:f>
                  <c:strCache>
                    <c:ptCount val="1"/>
                    <c:pt idx="0">
                      <c:v>Marshall Islands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{BF9E4867-6B0D-4CD4-B1F2-825FB9AD183B}</c15:txfldGUID>
                      <c15:f>[1]iScatter!$B$126</c15:f>
                      <c15:dlblFieldTableCache>
                        <c:ptCount val="1"/>
                        <c:pt idx="0">
                          <c:v>Marshall Islands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6-A1AD-4FCE-9FAE-BE9B29C994DB}"/>
                </c:ext>
              </c:extLst>
            </c:dLbl>
            <c:dLbl>
              <c:idx val="108"/>
              <c:tx>
                <c:strRef>
                  <c:f>[1]iScatter!$B$127</c:f>
                  <c:strCache>
                    <c:ptCount val="1"/>
                    <c:pt idx="0">
                      <c:v>Mauritania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{A69E6E5A-DFD4-4AB0-8E49-558A25787D67}</c15:txfldGUID>
                      <c15:f>[1]iScatter!$B$127</c15:f>
                      <c15:dlblFieldTableCache>
                        <c:ptCount val="1"/>
                        <c:pt idx="0">
                          <c:v>Mauritania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7-A1AD-4FCE-9FAE-BE9B29C994DB}"/>
                </c:ext>
              </c:extLst>
            </c:dLbl>
            <c:dLbl>
              <c:idx val="109"/>
              <c:tx>
                <c:strRef>
                  <c:f>[1]iScatter!$B$128</c:f>
                  <c:strCache>
                    <c:ptCount val="1"/>
                    <c:pt idx="0">
                      <c:v>Mauritius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{39B3B12A-9FAE-4A9C-80F1-A2D9F5166097}</c15:txfldGUID>
                      <c15:f>[1]iScatter!$B$128</c15:f>
                      <c15:dlblFieldTableCache>
                        <c:ptCount val="1"/>
                        <c:pt idx="0">
                          <c:v>Mauritius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8-A1AD-4FCE-9FAE-BE9B29C994DB}"/>
                </c:ext>
              </c:extLst>
            </c:dLbl>
            <c:dLbl>
              <c:idx val="110"/>
              <c:tx>
                <c:strRef>
                  <c:f>[1]iScatter!$B$129</c:f>
                  <c:strCache>
                    <c:ptCount val="1"/>
                    <c:pt idx="0">
                      <c:v>Mexico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{FB136C08-82D0-45A8-9EC4-282B808A0CEC}</c15:txfldGUID>
                      <c15:f>[1]iScatter!$B$129</c15:f>
                      <c15:dlblFieldTableCache>
                        <c:ptCount val="1"/>
                        <c:pt idx="0">
                          <c:v>Mexico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9-A1AD-4FCE-9FAE-BE9B29C994DB}"/>
                </c:ext>
              </c:extLst>
            </c:dLbl>
            <c:dLbl>
              <c:idx val="111"/>
              <c:tx>
                <c:strRef>
                  <c:f>[1]iScatter!$B$130</c:f>
                  <c:strCache>
                    <c:ptCount val="1"/>
                    <c:pt idx="0">
                      <c:v>Micronesia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{029C39DF-3405-4427-8AE6-F2AF8AEA1904}</c15:txfldGUID>
                      <c15:f>[1]iScatter!$B$130</c15:f>
                      <c15:dlblFieldTableCache>
                        <c:ptCount val="1"/>
                        <c:pt idx="0">
                          <c:v>Micronesia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A-A1AD-4FCE-9FAE-BE9B29C994DB}"/>
                </c:ext>
              </c:extLst>
            </c:dLbl>
            <c:dLbl>
              <c:idx val="112"/>
              <c:tx>
                <c:strRef>
                  <c:f>[1]iScatter!$B$131</c:f>
                  <c:strCache>
                    <c:ptCount val="1"/>
                    <c:pt idx="0">
                      <c:v>Moldova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{CE2FF3D7-7090-4A82-80AF-8983DEF32324}</c15:txfldGUID>
                      <c15:f>[1]iScatter!$B$131</c15:f>
                      <c15:dlblFieldTableCache>
                        <c:ptCount val="1"/>
                        <c:pt idx="0">
                          <c:v>Moldova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B-A1AD-4FCE-9FAE-BE9B29C994DB}"/>
                </c:ext>
              </c:extLst>
            </c:dLbl>
            <c:dLbl>
              <c:idx val="113"/>
              <c:tx>
                <c:strRef>
                  <c:f>[1]iScatter!$B$132</c:f>
                  <c:strCache>
                    <c:ptCount val="1"/>
                    <c:pt idx="0">
                      <c:v>Monaco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{0DE7D5D7-3DBB-472E-A301-AC100F4FA3C8}</c15:txfldGUID>
                      <c15:f>[1]iScatter!$B$132</c15:f>
                      <c15:dlblFieldTableCache>
                        <c:ptCount val="1"/>
                        <c:pt idx="0">
                          <c:v>Monaco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C-A1AD-4FCE-9FAE-BE9B29C994DB}"/>
                </c:ext>
              </c:extLst>
            </c:dLbl>
            <c:dLbl>
              <c:idx val="114"/>
              <c:tx>
                <c:strRef>
                  <c:f>[1]iScatter!$B$133</c:f>
                  <c:strCache>
                    <c:ptCount val="1"/>
                    <c:pt idx="0">
                      <c:v>Mongolia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{B4C06F5F-3364-4E35-A51D-0EEF461B2533}</c15:txfldGUID>
                      <c15:f>[1]iScatter!$B$133</c15:f>
                      <c15:dlblFieldTableCache>
                        <c:ptCount val="1"/>
                        <c:pt idx="0">
                          <c:v>Mongolia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D-A1AD-4FCE-9FAE-BE9B29C994DB}"/>
                </c:ext>
              </c:extLst>
            </c:dLbl>
            <c:dLbl>
              <c:idx val="115"/>
              <c:tx>
                <c:strRef>
                  <c:f>[1]iScatter!$B$134</c:f>
                  <c:strCache>
                    <c:ptCount val="1"/>
                    <c:pt idx="0">
                      <c:v>Montenegro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{B0FA7699-221C-4476-A5E5-1C9446FD8A8D}</c15:txfldGUID>
                      <c15:f>[1]iScatter!$B$134</c15:f>
                      <c15:dlblFieldTableCache>
                        <c:ptCount val="1"/>
                        <c:pt idx="0">
                          <c:v>Montenegro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E-A1AD-4FCE-9FAE-BE9B29C994DB}"/>
                </c:ext>
              </c:extLst>
            </c:dLbl>
            <c:dLbl>
              <c:idx val="116"/>
              <c:tx>
                <c:strRef>
                  <c:f>[1]iScatter!$B$135</c:f>
                  <c:strCache>
                    <c:ptCount val="1"/>
                    <c:pt idx="0">
                      <c:v>Morocco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{B76A6F3D-E837-4877-8386-BB081D58DFC0}</c15:txfldGUID>
                      <c15:f>[1]iScatter!$B$135</c15:f>
                      <c15:dlblFieldTableCache>
                        <c:ptCount val="1"/>
                        <c:pt idx="0">
                          <c:v>Morocco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7F-A1AD-4FCE-9FAE-BE9B29C994DB}"/>
                </c:ext>
              </c:extLst>
            </c:dLbl>
            <c:dLbl>
              <c:idx val="117"/>
              <c:tx>
                <c:strRef>
                  <c:f>[1]iScatter!$B$136</c:f>
                  <c:strCache>
                    <c:ptCount val="1"/>
                    <c:pt idx="0">
                      <c:v>Mozambique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{BDE4B506-2F0C-44EA-B4AA-91B45E726954}</c15:txfldGUID>
                      <c15:f>[1]iScatter!$B$136</c15:f>
                      <c15:dlblFieldTableCache>
                        <c:ptCount val="1"/>
                        <c:pt idx="0">
                          <c:v>Mozambique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0-A1AD-4FCE-9FAE-BE9B29C994DB}"/>
                </c:ext>
              </c:extLst>
            </c:dLbl>
            <c:dLbl>
              <c:idx val="118"/>
              <c:tx>
                <c:strRef>
                  <c:f>[1]iScatter!$B$137</c:f>
                  <c:strCache>
                    <c:ptCount val="1"/>
                    <c:pt idx="0">
                      <c:v>Myanmar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{576027C9-A6E0-4A8E-8A4E-E761BF989A22}</c15:txfldGUID>
                      <c15:f>[1]iScatter!$B$137</c15:f>
                      <c15:dlblFieldTableCache>
                        <c:ptCount val="1"/>
                        <c:pt idx="0">
                          <c:v>Myanmar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1-A1AD-4FCE-9FAE-BE9B29C994DB}"/>
                </c:ext>
              </c:extLst>
            </c:dLbl>
            <c:dLbl>
              <c:idx val="119"/>
              <c:tx>
                <c:strRef>
                  <c:f>[1]iScatter!$B$138</c:f>
                  <c:strCache>
                    <c:ptCount val="1"/>
                    <c:pt idx="0">
                      <c:v>Namibia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{B0248AAB-9678-4832-8064-68D923BD7A6B}</c15:txfldGUID>
                      <c15:f>[1]iScatter!$B$138</c15:f>
                      <c15:dlblFieldTableCache>
                        <c:ptCount val="1"/>
                        <c:pt idx="0">
                          <c:v>Namibia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2-A1AD-4FCE-9FAE-BE9B29C994DB}"/>
                </c:ext>
              </c:extLst>
            </c:dLbl>
            <c:dLbl>
              <c:idx val="120"/>
              <c:tx>
                <c:strRef>
                  <c:f>[1]iScatter!$B$139</c:f>
                  <c:strCache>
                    <c:ptCount val="1"/>
                    <c:pt idx="0">
                      <c:v>Nauru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{B487776E-B019-4294-A0E4-9F9DE3B50B03}</c15:txfldGUID>
                      <c15:f>[1]iScatter!$B$139</c15:f>
                      <c15:dlblFieldTableCache>
                        <c:ptCount val="1"/>
                        <c:pt idx="0">
                          <c:v>Nauru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3-A1AD-4FCE-9FAE-BE9B29C994DB}"/>
                </c:ext>
              </c:extLst>
            </c:dLbl>
            <c:dLbl>
              <c:idx val="121"/>
              <c:tx>
                <c:strRef>
                  <c:f>[1]iScatter!$B$140</c:f>
                  <c:strCache>
                    <c:ptCount val="1"/>
                    <c:pt idx="0">
                      <c:v>Nepal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{23CE27F6-49F6-4FC9-91DC-A463551533CA}</c15:txfldGUID>
                      <c15:f>[1]iScatter!$B$140</c15:f>
                      <c15:dlblFieldTableCache>
                        <c:ptCount val="1"/>
                        <c:pt idx="0">
                          <c:v>Nepal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4-A1AD-4FCE-9FAE-BE9B29C994DB}"/>
                </c:ext>
              </c:extLst>
            </c:dLbl>
            <c:dLbl>
              <c:idx val="122"/>
              <c:tx>
                <c:strRef>
                  <c:f>[1]iScatter!$B$141</c:f>
                  <c:strCache>
                    <c:ptCount val="1"/>
                    <c:pt idx="0">
                      <c:v>Netherlands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{8B2699A9-3869-4E9E-8977-96D4E22E42C2}</c15:txfldGUID>
                      <c15:f>[1]iScatter!$B$141</c15:f>
                      <c15:dlblFieldTableCache>
                        <c:ptCount val="1"/>
                        <c:pt idx="0">
                          <c:v>Netherlands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5-A1AD-4FCE-9FAE-BE9B29C994DB}"/>
                </c:ext>
              </c:extLst>
            </c:dLbl>
            <c:dLbl>
              <c:idx val="123"/>
              <c:tx>
                <c:strRef>
                  <c:f>[1]iScatter!$B$142</c:f>
                  <c:strCache>
                    <c:ptCount val="1"/>
                    <c:pt idx="0">
                      <c:v>New Zealand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{C1912F7C-3F26-40A9-8694-F1B11D9FEC39}</c15:txfldGUID>
                      <c15:f>[1]iScatter!$B$142</c15:f>
                      <c15:dlblFieldTableCache>
                        <c:ptCount val="1"/>
                        <c:pt idx="0">
                          <c:v>New Zealand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6-A1AD-4FCE-9FAE-BE9B29C994DB}"/>
                </c:ext>
              </c:extLst>
            </c:dLbl>
            <c:dLbl>
              <c:idx val="124"/>
              <c:tx>
                <c:strRef>
                  <c:f>[1]iScatter!$B$143</c:f>
                  <c:strCache>
                    <c:ptCount val="1"/>
                    <c:pt idx="0">
                      <c:v>Nicaragua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{5DBEB9EA-D8B1-45A9-8DF2-AA358A3B9476}</c15:txfldGUID>
                      <c15:f>[1]iScatter!$B$143</c15:f>
                      <c15:dlblFieldTableCache>
                        <c:ptCount val="1"/>
                        <c:pt idx="0">
                          <c:v>Nicaragua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7-A1AD-4FCE-9FAE-BE9B29C994DB}"/>
                </c:ext>
              </c:extLst>
            </c:dLbl>
            <c:dLbl>
              <c:idx val="125"/>
              <c:tx>
                <c:strRef>
                  <c:f>[1]iScatter!$B$144</c:f>
                  <c:strCache>
                    <c:ptCount val="1"/>
                    <c:pt idx="0">
                      <c:v>Niger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{DD62B789-F101-4EA0-9073-677EFE8F9A55}</c15:txfldGUID>
                      <c15:f>[1]iScatter!$B$144</c15:f>
                      <c15:dlblFieldTableCache>
                        <c:ptCount val="1"/>
                        <c:pt idx="0">
                          <c:v>Niger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8-A1AD-4FCE-9FAE-BE9B29C994DB}"/>
                </c:ext>
              </c:extLst>
            </c:dLbl>
            <c:dLbl>
              <c:idx val="126"/>
              <c:tx>
                <c:strRef>
                  <c:f>[1]iScatter!$B$145</c:f>
                  <c:strCache>
                    <c:ptCount val="1"/>
                    <c:pt idx="0">
                      <c:v>Nigeria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{81653656-61D6-47BE-A11C-959FB112B2C0}</c15:txfldGUID>
                      <c15:f>[1]iScatter!$B$145</c15:f>
                      <c15:dlblFieldTableCache>
                        <c:ptCount val="1"/>
                        <c:pt idx="0">
                          <c:v>Nigeria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9-A1AD-4FCE-9FAE-BE9B29C994DB}"/>
                </c:ext>
              </c:extLst>
            </c:dLbl>
            <c:dLbl>
              <c:idx val="127"/>
              <c:tx>
                <c:strRef>
                  <c:f>[1]iScatter!$B$146</c:f>
                  <c:strCache>
                    <c:ptCount val="1"/>
                    <c:pt idx="0">
                      <c:v>Niue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{3BC70F93-C030-4D08-995A-FAD6E3796476}</c15:txfldGUID>
                      <c15:f>[1]iScatter!$B$146</c15:f>
                      <c15:dlblFieldTableCache>
                        <c:ptCount val="1"/>
                        <c:pt idx="0">
                          <c:v>Niue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A1AD-4FCE-9FAE-BE9B29C994DB}"/>
                </c:ext>
              </c:extLst>
            </c:dLbl>
            <c:dLbl>
              <c:idx val="128"/>
              <c:tx>
                <c:strRef>
                  <c:f>[1]iScatter!$B$147</c:f>
                  <c:strCache>
                    <c:ptCount val="1"/>
                    <c:pt idx="0">
                      <c:v>North Korea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{7FD36ADF-CBF5-452F-AABB-5B92410B306F}</c15:txfldGUID>
                      <c15:f>[1]iScatter!$B$147</c15:f>
                      <c15:dlblFieldTableCache>
                        <c:ptCount val="1"/>
                        <c:pt idx="0">
                          <c:v>North Korea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B-A1AD-4FCE-9FAE-BE9B29C994DB}"/>
                </c:ext>
              </c:extLst>
            </c:dLbl>
            <c:dLbl>
              <c:idx val="129"/>
              <c:tx>
                <c:strRef>
                  <c:f>[1]iScatter!$B$148</c:f>
                  <c:strCache>
                    <c:ptCount val="1"/>
                    <c:pt idx="0">
                      <c:v>North Macedonia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{669BFF7F-D9E9-459C-8B30-668EF7C8DED8}</c15:txfldGUID>
                      <c15:f>[1]iScatter!$B$148</c15:f>
                      <c15:dlblFieldTableCache>
                        <c:ptCount val="1"/>
                        <c:pt idx="0">
                          <c:v>North Macedonia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A1AD-4FCE-9FAE-BE9B29C994DB}"/>
                </c:ext>
              </c:extLst>
            </c:dLbl>
            <c:dLbl>
              <c:idx val="130"/>
              <c:tx>
                <c:strRef>
                  <c:f>[1]iScatter!$B$149</c:f>
                  <c:strCache>
                    <c:ptCount val="1"/>
                    <c:pt idx="0">
                      <c:v>Norway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{82D5B227-4977-4C8C-AB56-3B0DFAAEC772}</c15:txfldGUID>
                      <c15:f>[1]iScatter!$B$149</c15:f>
                      <c15:dlblFieldTableCache>
                        <c:ptCount val="1"/>
                        <c:pt idx="0">
                          <c:v>Norway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D-A1AD-4FCE-9FAE-BE9B29C994DB}"/>
                </c:ext>
              </c:extLst>
            </c:dLbl>
            <c:dLbl>
              <c:idx val="131"/>
              <c:tx>
                <c:strRef>
                  <c:f>[1]iScatter!$B$150</c:f>
                  <c:strCache>
                    <c:ptCount val="1"/>
                    <c:pt idx="0">
                      <c:v>Oman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{95E0FEEA-B97E-477A-B873-8546403D57D4}</c15:txfldGUID>
                      <c15:f>[1]iScatter!$B$150</c15:f>
                      <c15:dlblFieldTableCache>
                        <c:ptCount val="1"/>
                        <c:pt idx="0">
                          <c:v>Oman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A1AD-4FCE-9FAE-BE9B29C994DB}"/>
                </c:ext>
              </c:extLst>
            </c:dLbl>
            <c:dLbl>
              <c:idx val="132"/>
              <c:tx>
                <c:strRef>
                  <c:f>[1]iScatter!$B$151</c:f>
                  <c:strCache>
                    <c:ptCount val="1"/>
                    <c:pt idx="0">
                      <c:v>Pakistan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{7A213D20-C77D-41DF-84BC-DA57DC1DF19C}</c15:txfldGUID>
                      <c15:f>[1]iScatter!$B$151</c15:f>
                      <c15:dlblFieldTableCache>
                        <c:ptCount val="1"/>
                        <c:pt idx="0">
                          <c:v>Pakistan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F-A1AD-4FCE-9FAE-BE9B29C994DB}"/>
                </c:ext>
              </c:extLst>
            </c:dLbl>
            <c:dLbl>
              <c:idx val="133"/>
              <c:tx>
                <c:strRef>
                  <c:f>[1]iScatter!$B$152</c:f>
                  <c:strCache>
                    <c:ptCount val="1"/>
                    <c:pt idx="0">
                      <c:v>Palau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{FA5682AE-0202-46E1-95C9-5C1958079518}</c15:txfldGUID>
                      <c15:f>[1]iScatter!$B$152</c15:f>
                      <c15:dlblFieldTableCache>
                        <c:ptCount val="1"/>
                        <c:pt idx="0">
                          <c:v>Palau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0-A1AD-4FCE-9FAE-BE9B29C994DB}"/>
                </c:ext>
              </c:extLst>
            </c:dLbl>
            <c:dLbl>
              <c:idx val="1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A1AD-4FCE-9FAE-BE9B29C994DB}"/>
                </c:ext>
              </c:extLst>
            </c:dLbl>
            <c:dLbl>
              <c:idx val="135"/>
              <c:tx>
                <c:strRef>
                  <c:f>[1]iScatter!$B$154</c:f>
                  <c:strCache>
                    <c:ptCount val="1"/>
                    <c:pt idx="0">
                      <c:v>Papua New Guinea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{215A1A62-45FA-4587-86F6-77A7B0657640}</c15:txfldGUID>
                      <c15:f>[1]iScatter!$B$154</c15:f>
                      <c15:dlblFieldTableCache>
                        <c:ptCount val="1"/>
                        <c:pt idx="0">
                          <c:v>Papua New Guinea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2-A1AD-4FCE-9FAE-BE9B29C994DB}"/>
                </c:ext>
              </c:extLst>
            </c:dLbl>
            <c:dLbl>
              <c:idx val="136"/>
              <c:tx>
                <c:strRef>
                  <c:f>[1]iScatter!$B$155</c:f>
                  <c:strCache>
                    <c:ptCount val="1"/>
                    <c:pt idx="0">
                      <c:v>Paraguay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{A2B901E2-7187-46B4-BF1A-21BEB4348810}</c15:txfldGUID>
                      <c15:f>[1]iScatter!$B$155</c15:f>
                      <c15:dlblFieldTableCache>
                        <c:ptCount val="1"/>
                        <c:pt idx="0">
                          <c:v>Paraguay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A1AD-4FCE-9FAE-BE9B29C994DB}"/>
                </c:ext>
              </c:extLst>
            </c:dLbl>
            <c:dLbl>
              <c:idx val="137"/>
              <c:tx>
                <c:strRef>
                  <c:f>[1]iScatter!$B$156</c:f>
                  <c:strCache>
                    <c:ptCount val="1"/>
                    <c:pt idx="0">
                      <c:v>Peru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{6F34FB4B-8C18-47A7-AF2E-7D7171F04B43}</c15:txfldGUID>
                      <c15:f>[1]iScatter!$B$156</c15:f>
                      <c15:dlblFieldTableCache>
                        <c:ptCount val="1"/>
                        <c:pt idx="0">
                          <c:v>Peru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4-A1AD-4FCE-9FAE-BE9B29C994DB}"/>
                </c:ext>
              </c:extLst>
            </c:dLbl>
            <c:dLbl>
              <c:idx val="138"/>
              <c:tx>
                <c:strRef>
                  <c:f>[1]iScatter!$B$157</c:f>
                  <c:strCache>
                    <c:ptCount val="1"/>
                    <c:pt idx="0">
                      <c:v>Philippines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{E23066FE-49F8-46D2-B6D3-9B4770F9D419}</c15:txfldGUID>
                      <c15:f>[1]iScatter!$B$157</c15:f>
                      <c15:dlblFieldTableCache>
                        <c:ptCount val="1"/>
                        <c:pt idx="0">
                          <c:v>Philippines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5-A1AD-4FCE-9FAE-BE9B29C994DB}"/>
                </c:ext>
              </c:extLst>
            </c:dLbl>
            <c:dLbl>
              <c:idx val="139"/>
              <c:tx>
                <c:strRef>
                  <c:f>[1]iScatter!$B$158</c:f>
                  <c:strCache>
                    <c:ptCount val="1"/>
                    <c:pt idx="0">
                      <c:v>Poland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{BE161FCE-14D2-4473-A7FD-65C74F99013D}</c15:txfldGUID>
                      <c15:f>[1]iScatter!$B$158</c15:f>
                      <c15:dlblFieldTableCache>
                        <c:ptCount val="1"/>
                        <c:pt idx="0">
                          <c:v>Poland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6-A1AD-4FCE-9FAE-BE9B29C994DB}"/>
                </c:ext>
              </c:extLst>
            </c:dLbl>
            <c:dLbl>
              <c:idx val="140"/>
              <c:tx>
                <c:strRef>
                  <c:f>[1]iScatter!$B$159</c:f>
                  <c:strCache>
                    <c:ptCount val="1"/>
                    <c:pt idx="0">
                      <c:v>Portugal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{0756EE1D-7FB5-4B76-8209-06D4FACCCC03}</c15:txfldGUID>
                      <c15:f>[1]iScatter!$B$159</c15:f>
                      <c15:dlblFieldTableCache>
                        <c:ptCount val="1"/>
                        <c:pt idx="0">
                          <c:v>Portugal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7-A1AD-4FCE-9FAE-BE9B29C994DB}"/>
                </c:ext>
              </c:extLst>
            </c:dLbl>
            <c:dLbl>
              <c:idx val="141"/>
              <c:tx>
                <c:strRef>
                  <c:f>[1]iScatter!$B$160</c:f>
                  <c:strCache>
                    <c:ptCount val="1"/>
                    <c:pt idx="0">
                      <c:v>Qatar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{C5BF98E6-5420-4E02-B1AF-14B5768C00D9}</c15:txfldGUID>
                      <c15:f>[1]iScatter!$B$160</c15:f>
                      <c15:dlblFieldTableCache>
                        <c:ptCount val="1"/>
                        <c:pt idx="0">
                          <c:v>Qatar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8-A1AD-4FCE-9FAE-BE9B29C994DB}"/>
                </c:ext>
              </c:extLst>
            </c:dLbl>
            <c:dLbl>
              <c:idx val="142"/>
              <c:tx>
                <c:strRef>
                  <c:f>[1]iScatter!$B$161</c:f>
                  <c:strCache>
                    <c:ptCount val="1"/>
                    <c:pt idx="0">
                      <c:v>Romania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{9BF4D455-3863-4E6A-ABD4-9BC7DAC66DC7}</c15:txfldGUID>
                      <c15:f>[1]iScatter!$B$161</c15:f>
                      <c15:dlblFieldTableCache>
                        <c:ptCount val="1"/>
                        <c:pt idx="0">
                          <c:v>Romania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9-A1AD-4FCE-9FAE-BE9B29C994DB}"/>
                </c:ext>
              </c:extLst>
            </c:dLbl>
            <c:dLbl>
              <c:idx val="143"/>
              <c:tx>
                <c:strRef>
                  <c:f>[1]iScatter!$B$162</c:f>
                  <c:strCache>
                    <c:ptCount val="1"/>
                    <c:pt idx="0">
                      <c:v>Russia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{74D2C2C5-FE47-4E99-B6D6-7681867E6F38}</c15:txfldGUID>
                      <c15:f>[1]iScatter!$B$162</c15:f>
                      <c15:dlblFieldTableCache>
                        <c:ptCount val="1"/>
                        <c:pt idx="0">
                          <c:v>Russia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A-A1AD-4FCE-9FAE-BE9B29C994DB}"/>
                </c:ext>
              </c:extLst>
            </c:dLbl>
            <c:dLbl>
              <c:idx val="144"/>
              <c:tx>
                <c:strRef>
                  <c:f>[1]iScatter!$B$163</c:f>
                  <c:strCache>
                    <c:ptCount val="1"/>
                    <c:pt idx="0">
                      <c:v>Rwanda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{E5E05309-10F6-4249-8D7E-C31B30A7F79E}</c15:txfldGUID>
                      <c15:f>[1]iScatter!$B$163</c15:f>
                      <c15:dlblFieldTableCache>
                        <c:ptCount val="1"/>
                        <c:pt idx="0">
                          <c:v>Rwanda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B-A1AD-4FCE-9FAE-BE9B29C994DB}"/>
                </c:ext>
              </c:extLst>
            </c:dLbl>
            <c:dLbl>
              <c:idx val="145"/>
              <c:tx>
                <c:strRef>
                  <c:f>[1]iScatter!$B$164</c:f>
                  <c:strCache>
                    <c:ptCount val="1"/>
                    <c:pt idx="0">
                      <c:v>Samoa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{DF19830D-4B29-4CA9-BBF1-5FA17C534CA4}</c15:txfldGUID>
                      <c15:f>[1]iScatter!$B$164</c15:f>
                      <c15:dlblFieldTableCache>
                        <c:ptCount val="1"/>
                        <c:pt idx="0">
                          <c:v>Samoa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C-A1AD-4FCE-9FAE-BE9B29C994DB}"/>
                </c:ext>
              </c:extLst>
            </c:dLbl>
            <c:dLbl>
              <c:idx val="146"/>
              <c:tx>
                <c:strRef>
                  <c:f>[1]iScatter!$B$165</c:f>
                  <c:strCache>
                    <c:ptCount val="1"/>
                    <c:pt idx="0">
                      <c:v>San Marino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{53C0120A-3BFD-47CD-8571-60017C1DA5C5}</c15:txfldGUID>
                      <c15:f>[1]iScatter!$B$165</c15:f>
                      <c15:dlblFieldTableCache>
                        <c:ptCount val="1"/>
                        <c:pt idx="0">
                          <c:v>San Marino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D-A1AD-4FCE-9FAE-BE9B29C994DB}"/>
                </c:ext>
              </c:extLst>
            </c:dLbl>
            <c:dLbl>
              <c:idx val="147"/>
              <c:tx>
                <c:strRef>
                  <c:f>[1]iScatter!$B$166</c:f>
                  <c:strCache>
                    <c:ptCount val="1"/>
                    <c:pt idx="0">
                      <c:v>São Tomé and Príncipe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{B132A58B-E449-437D-B745-607DC9BF9A7E}</c15:txfldGUID>
                      <c15:f>[1]iScatter!$B$166</c15:f>
                      <c15:dlblFieldTableCache>
                        <c:ptCount val="1"/>
                        <c:pt idx="0">
                          <c:v>São Tomé and Príncipe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A1AD-4FCE-9FAE-BE9B29C994DB}"/>
                </c:ext>
              </c:extLst>
            </c:dLbl>
            <c:dLbl>
              <c:idx val="148"/>
              <c:tx>
                <c:strRef>
                  <c:f>[1]iScatter!$B$167</c:f>
                  <c:strCache>
                    <c:ptCount val="1"/>
                    <c:pt idx="0">
                      <c:v>Saudi Arabia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{E43A1B08-9720-4CEF-A428-0109B4BAFB5A}</c15:txfldGUID>
                      <c15:f>[1]iScatter!$B$167</c15:f>
                      <c15:dlblFieldTableCache>
                        <c:ptCount val="1"/>
                        <c:pt idx="0">
                          <c:v>Saudi Arabia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F-A1AD-4FCE-9FAE-BE9B29C994DB}"/>
                </c:ext>
              </c:extLst>
            </c:dLbl>
            <c:dLbl>
              <c:idx val="149"/>
              <c:tx>
                <c:strRef>
                  <c:f>[1]iScatter!$B$168</c:f>
                  <c:strCache>
                    <c:ptCount val="1"/>
                    <c:pt idx="0">
                      <c:v>Senegal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{D99C3D33-C1F4-49BA-B78F-0EF23BE4593F}</c15:txfldGUID>
                      <c15:f>[1]iScatter!$B$168</c15:f>
                      <c15:dlblFieldTableCache>
                        <c:ptCount val="1"/>
                        <c:pt idx="0">
                          <c:v>Senegal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A1AD-4FCE-9FAE-BE9B29C994DB}"/>
                </c:ext>
              </c:extLst>
            </c:dLbl>
            <c:dLbl>
              <c:idx val="150"/>
              <c:tx>
                <c:strRef>
                  <c:f>[1]iScatter!$B$169</c:f>
                  <c:strCache>
                    <c:ptCount val="1"/>
                    <c:pt idx="0">
                      <c:v>Serbia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{866D31F6-2014-4694-A728-815710554311}</c15:txfldGUID>
                      <c15:f>[1]iScatter!$B$169</c15:f>
                      <c15:dlblFieldTableCache>
                        <c:ptCount val="1"/>
                        <c:pt idx="0">
                          <c:v>Serbia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1-A1AD-4FCE-9FAE-BE9B29C994DB}"/>
                </c:ext>
              </c:extLst>
            </c:dLbl>
            <c:dLbl>
              <c:idx val="151"/>
              <c:tx>
                <c:strRef>
                  <c:f>[1]iScatter!$B$170</c:f>
                  <c:strCache>
                    <c:ptCount val="1"/>
                    <c:pt idx="0">
                      <c:v>Seychelles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{1F64E3F8-5447-4B61-A634-FD3C66BA47C6}</c15:txfldGUID>
                      <c15:f>[1]iScatter!$B$170</c15:f>
                      <c15:dlblFieldTableCache>
                        <c:ptCount val="1"/>
                        <c:pt idx="0">
                          <c:v>Seychelles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A1AD-4FCE-9FAE-BE9B29C994DB}"/>
                </c:ext>
              </c:extLst>
            </c:dLbl>
            <c:dLbl>
              <c:idx val="152"/>
              <c:tx>
                <c:strRef>
                  <c:f>[1]iScatter!$B$171</c:f>
                  <c:strCache>
                    <c:ptCount val="1"/>
                    <c:pt idx="0">
                      <c:v>Sierra Leone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{61E1DC7F-0F62-4F4D-8937-28E76620B60A}</c15:txfldGUID>
                      <c15:f>[1]iScatter!$B$171</c15:f>
                      <c15:dlblFieldTableCache>
                        <c:ptCount val="1"/>
                        <c:pt idx="0">
                          <c:v>Sierra Leone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3-A1AD-4FCE-9FAE-BE9B29C994DB}"/>
                </c:ext>
              </c:extLst>
            </c:dLbl>
            <c:dLbl>
              <c:idx val="153"/>
              <c:tx>
                <c:strRef>
                  <c:f>[1]iScatter!$B$172</c:f>
                  <c:strCache>
                    <c:ptCount val="1"/>
                    <c:pt idx="0">
                      <c:v>Singapore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{54BE0A33-DCD6-483B-ACBD-3CDD79B0CB76}</c15:txfldGUID>
                      <c15:f>[1]iScatter!$B$172</c15:f>
                      <c15:dlblFieldTableCache>
                        <c:ptCount val="1"/>
                        <c:pt idx="0">
                          <c:v>Singapore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A1AD-4FCE-9FAE-BE9B29C994DB}"/>
                </c:ext>
              </c:extLst>
            </c:dLbl>
            <c:dLbl>
              <c:idx val="154"/>
              <c:tx>
                <c:strRef>
                  <c:f>[1]iScatter!$B$173</c:f>
                  <c:strCache>
                    <c:ptCount val="1"/>
                    <c:pt idx="0">
                      <c:v>Slovakia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{C7A591FD-E132-483A-B45D-F0486F85A27B}</c15:txfldGUID>
                      <c15:f>[1]iScatter!$B$173</c15:f>
                      <c15:dlblFieldTableCache>
                        <c:ptCount val="1"/>
                        <c:pt idx="0">
                          <c:v>Slovakia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5-A1AD-4FCE-9FAE-BE9B29C994DB}"/>
                </c:ext>
              </c:extLst>
            </c:dLbl>
            <c:dLbl>
              <c:idx val="155"/>
              <c:tx>
                <c:strRef>
                  <c:f>[1]iScatter!$B$174</c:f>
                  <c:strCache>
                    <c:ptCount val="1"/>
                    <c:pt idx="0">
                      <c:v>Slovenia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{8F2188D8-73D0-4234-863B-B3756096ECD2}</c15:txfldGUID>
                      <c15:f>[1]iScatter!$B$174</c15:f>
                      <c15:dlblFieldTableCache>
                        <c:ptCount val="1"/>
                        <c:pt idx="0">
                          <c:v>Slovenia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6-A1AD-4FCE-9FAE-BE9B29C994DB}"/>
                </c:ext>
              </c:extLst>
            </c:dLbl>
            <c:dLbl>
              <c:idx val="156"/>
              <c:tx>
                <c:strRef>
                  <c:f>[1]iScatter!$B$175</c:f>
                  <c:strCache>
                    <c:ptCount val="1"/>
                    <c:pt idx="0">
                      <c:v>Solomon Islands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{516E5BE3-B58D-4640-962B-F3E302EE567F}</c15:txfldGUID>
                      <c15:f>[1]iScatter!$B$175</c15:f>
                      <c15:dlblFieldTableCache>
                        <c:ptCount val="1"/>
                        <c:pt idx="0">
                          <c:v>Solomon Islands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7-A1AD-4FCE-9FAE-BE9B29C994DB}"/>
                </c:ext>
              </c:extLst>
            </c:dLbl>
            <c:dLbl>
              <c:idx val="157"/>
              <c:tx>
                <c:strRef>
                  <c:f>[1]iScatter!$B$176</c:f>
                  <c:strCache>
                    <c:ptCount val="1"/>
                    <c:pt idx="0">
                      <c:v>Somalia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{4DE9E1FA-219F-4E1C-9444-411BC09AD760}</c15:txfldGUID>
                      <c15:f>[1]iScatter!$B$176</c15:f>
                      <c15:dlblFieldTableCache>
                        <c:ptCount val="1"/>
                        <c:pt idx="0">
                          <c:v>Somalia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8-A1AD-4FCE-9FAE-BE9B29C994DB}"/>
                </c:ext>
              </c:extLst>
            </c:dLbl>
            <c:dLbl>
              <c:idx val="158"/>
              <c:tx>
                <c:strRef>
                  <c:f>[1]iScatter!$B$177</c:f>
                  <c:strCache>
                    <c:ptCount val="1"/>
                    <c:pt idx="0">
                      <c:v>South Africa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{70A471CE-921C-4063-BEA0-96A17A6BEC86}</c15:txfldGUID>
                      <c15:f>[1]iScatter!$B$177</c15:f>
                      <c15:dlblFieldTableCache>
                        <c:ptCount val="1"/>
                        <c:pt idx="0">
                          <c:v>South Africa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A1AD-4FCE-9FAE-BE9B29C994DB}"/>
                </c:ext>
              </c:extLst>
            </c:dLbl>
            <c:dLbl>
              <c:idx val="159"/>
              <c:tx>
                <c:strRef>
                  <c:f>[1]iScatter!$B$178</c:f>
                  <c:strCache>
                    <c:ptCount val="1"/>
                    <c:pt idx="0">
                      <c:v>South Korea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{344E60FA-3E3F-48C3-8AFE-7749A4E633EB}</c15:txfldGUID>
                      <c15:f>[1]iScatter!$B$178</c15:f>
                      <c15:dlblFieldTableCache>
                        <c:ptCount val="1"/>
                        <c:pt idx="0">
                          <c:v>South Korea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A-A1AD-4FCE-9FAE-BE9B29C994DB}"/>
                </c:ext>
              </c:extLst>
            </c:dLbl>
            <c:dLbl>
              <c:idx val="160"/>
              <c:tx>
                <c:strRef>
                  <c:f>[1]iScatter!$B$179</c:f>
                  <c:strCache>
                    <c:ptCount val="1"/>
                    <c:pt idx="0">
                      <c:v>South Sudan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{9C42EB5D-349B-4E2E-8BDC-CF255BF1BCD2}</c15:txfldGUID>
                      <c15:f>[1]iScatter!$B$179</c15:f>
                      <c15:dlblFieldTableCache>
                        <c:ptCount val="1"/>
                        <c:pt idx="0">
                          <c:v>South Sudan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B-A1AD-4FCE-9FAE-BE9B29C994DB}"/>
                </c:ext>
              </c:extLst>
            </c:dLbl>
            <c:dLbl>
              <c:idx val="161"/>
              <c:tx>
                <c:strRef>
                  <c:f>[1]iScatter!$B$180</c:f>
                  <c:strCache>
                    <c:ptCount val="1"/>
                    <c:pt idx="0">
                      <c:v>Spain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{A4A31E06-8DC8-45C2-AE72-19147248C770}</c15:txfldGUID>
                      <c15:f>[1]iScatter!$B$180</c15:f>
                      <c15:dlblFieldTableCache>
                        <c:ptCount val="1"/>
                        <c:pt idx="0">
                          <c:v>Spain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C-A1AD-4FCE-9FAE-BE9B29C994DB}"/>
                </c:ext>
              </c:extLst>
            </c:dLbl>
            <c:dLbl>
              <c:idx val="162"/>
              <c:tx>
                <c:strRef>
                  <c:f>[1]iScatter!$B$181</c:f>
                  <c:strCache>
                    <c:ptCount val="1"/>
                    <c:pt idx="0">
                      <c:v>Sri Lanka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{DB9B5349-300E-438D-90C9-A63E495D1F6A}</c15:txfldGUID>
                      <c15:f>[1]iScatter!$B$181</c15:f>
                      <c15:dlblFieldTableCache>
                        <c:ptCount val="1"/>
                        <c:pt idx="0">
                          <c:v>Sri Lanka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D-A1AD-4FCE-9FAE-BE9B29C994DB}"/>
                </c:ext>
              </c:extLst>
            </c:dLbl>
            <c:dLbl>
              <c:idx val="1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A1AD-4FCE-9FAE-BE9B29C994DB}"/>
                </c:ext>
              </c:extLst>
            </c:dLbl>
            <c:dLbl>
              <c:idx val="164"/>
              <c:tx>
                <c:strRef>
                  <c:f>[1]iScatter!$B$183</c:f>
                  <c:strCache>
                    <c:ptCount val="1"/>
                    <c:pt idx="0">
                      <c:v>St Lucia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{5085934B-FEFF-42CD-8BBB-B31A3B1ACCE3}</c15:txfldGUID>
                      <c15:f>[1]iScatter!$B$183</c15:f>
                      <c15:dlblFieldTableCache>
                        <c:ptCount val="1"/>
                        <c:pt idx="0">
                          <c:v>St Lucia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F-A1AD-4FCE-9FAE-BE9B29C994DB}"/>
                </c:ext>
              </c:extLst>
            </c:dLbl>
            <c:dLbl>
              <c:idx val="165"/>
              <c:tx>
                <c:strRef>
                  <c:f>[1]iScatter!$B$184</c:f>
                  <c:strCache>
                    <c:ptCount val="1"/>
                    <c:pt idx="0">
                      <c:v>St Vincent and The Grenadines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{185BFA14-3F6C-40F9-81C0-22AE97A2FF15}</c15:txfldGUID>
                      <c15:f>[1]iScatter!$B$184</c15:f>
                      <c15:dlblFieldTableCache>
                        <c:ptCount val="1"/>
                        <c:pt idx="0">
                          <c:v>St Vincent and The Grenadines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0-A1AD-4FCE-9FAE-BE9B29C994DB}"/>
                </c:ext>
              </c:extLst>
            </c:dLbl>
            <c:dLbl>
              <c:idx val="166"/>
              <c:tx>
                <c:strRef>
                  <c:f>[1]iScatter!$B$185</c:f>
                  <c:strCache>
                    <c:ptCount val="1"/>
                    <c:pt idx="0">
                      <c:v>Sudan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{30961987-D271-47F1-8254-E14B0D7C406C}</c15:txfldGUID>
                      <c15:f>[1]iScatter!$B$185</c15:f>
                      <c15:dlblFieldTableCache>
                        <c:ptCount val="1"/>
                        <c:pt idx="0">
                          <c:v>Sudan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1-A1AD-4FCE-9FAE-BE9B29C994DB}"/>
                </c:ext>
              </c:extLst>
            </c:dLbl>
            <c:dLbl>
              <c:idx val="16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A1AD-4FCE-9FAE-BE9B29C994DB}"/>
                </c:ext>
              </c:extLst>
            </c:dLbl>
            <c:dLbl>
              <c:idx val="168"/>
              <c:tx>
                <c:strRef>
                  <c:f>[1]iScatter!$B$187</c:f>
                  <c:strCache>
                    <c:ptCount val="1"/>
                    <c:pt idx="0">
                      <c:v>Sweden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{F9882A2E-EC9D-44F2-94E1-C2A47235BCF8}</c15:txfldGUID>
                      <c15:f>[1]iScatter!$B$187</c15:f>
                      <c15:dlblFieldTableCache>
                        <c:ptCount val="1"/>
                        <c:pt idx="0">
                          <c:v>Sweden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3-A1AD-4FCE-9FAE-BE9B29C994DB}"/>
                </c:ext>
              </c:extLst>
            </c:dLbl>
            <c:dLbl>
              <c:idx val="169"/>
              <c:tx>
                <c:strRef>
                  <c:f>[1]iScatter!$B$188</c:f>
                  <c:strCache>
                    <c:ptCount val="1"/>
                    <c:pt idx="0">
                      <c:v>Switzerland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{D7D6A8F4-3265-44EE-998F-3751E3871C30}</c15:txfldGUID>
                      <c15:f>[1]iScatter!$B$188</c15:f>
                      <c15:dlblFieldTableCache>
                        <c:ptCount val="1"/>
                        <c:pt idx="0">
                          <c:v>Switzerland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4-A1AD-4FCE-9FAE-BE9B29C994DB}"/>
                </c:ext>
              </c:extLst>
            </c:dLbl>
            <c:dLbl>
              <c:idx val="170"/>
              <c:tx>
                <c:strRef>
                  <c:f>[1]iScatter!$B$189</c:f>
                  <c:strCache>
                    <c:ptCount val="1"/>
                    <c:pt idx="0">
                      <c:v>Syria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{EABADBC5-7D80-4895-AA3E-F10FD3F849D4}</c15:txfldGUID>
                      <c15:f>[1]iScatter!$B$189</c15:f>
                      <c15:dlblFieldTableCache>
                        <c:ptCount val="1"/>
                        <c:pt idx="0">
                          <c:v>Syria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5-A1AD-4FCE-9FAE-BE9B29C994DB}"/>
                </c:ext>
              </c:extLst>
            </c:dLbl>
            <c:dLbl>
              <c:idx val="171"/>
              <c:tx>
                <c:strRef>
                  <c:f>[1]iScatter!$B$190</c:f>
                  <c:strCache>
                    <c:ptCount val="1"/>
                    <c:pt idx="0">
                      <c:v>Tajikistan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{2363614E-F2DD-410E-A684-776568AF2B2D}</c15:txfldGUID>
                      <c15:f>[1]iScatter!$B$190</c15:f>
                      <c15:dlblFieldTableCache>
                        <c:ptCount val="1"/>
                        <c:pt idx="0">
                          <c:v>Tajikistan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6-A1AD-4FCE-9FAE-BE9B29C994DB}"/>
                </c:ext>
              </c:extLst>
            </c:dLbl>
            <c:dLbl>
              <c:idx val="172"/>
              <c:tx>
                <c:strRef>
                  <c:f>[1]iScatter!$B$191</c:f>
                  <c:strCache>
                    <c:ptCount val="1"/>
                    <c:pt idx="0">
                      <c:v>Tanzania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{B0F84273-EDEC-404D-AC1E-D4C655FDDA89}</c15:txfldGUID>
                      <c15:f>[1]iScatter!$B$191</c15:f>
                      <c15:dlblFieldTableCache>
                        <c:ptCount val="1"/>
                        <c:pt idx="0">
                          <c:v>Tanzania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7-A1AD-4FCE-9FAE-BE9B29C994DB}"/>
                </c:ext>
              </c:extLst>
            </c:dLbl>
            <c:dLbl>
              <c:idx val="173"/>
              <c:tx>
                <c:strRef>
                  <c:f>[1]iScatter!$B$192</c:f>
                  <c:strCache>
                    <c:ptCount val="1"/>
                    <c:pt idx="0">
                      <c:v>Thailand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{39901CFA-6AAD-416C-B83A-E188746435CC}</c15:txfldGUID>
                      <c15:f>[1]iScatter!$B$192</c15:f>
                      <c15:dlblFieldTableCache>
                        <c:ptCount val="1"/>
                        <c:pt idx="0">
                          <c:v>Thailand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8-A1AD-4FCE-9FAE-BE9B29C994DB}"/>
                </c:ext>
              </c:extLst>
            </c:dLbl>
            <c:dLbl>
              <c:idx val="174"/>
              <c:tx>
                <c:strRef>
                  <c:f>[1]iScatter!$B$193</c:f>
                  <c:strCache>
                    <c:ptCount val="1"/>
                    <c:pt idx="0">
                      <c:v>Timor-Leste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{18DB4A8A-48B7-4A1E-B2B9-FC74D71C30A5}</c15:txfldGUID>
                      <c15:f>[1]iScatter!$B$193</c15:f>
                      <c15:dlblFieldTableCache>
                        <c:ptCount val="1"/>
                        <c:pt idx="0">
                          <c:v>Timor-Leste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9-A1AD-4FCE-9FAE-BE9B29C994DB}"/>
                </c:ext>
              </c:extLst>
            </c:dLbl>
            <c:dLbl>
              <c:idx val="175"/>
              <c:tx>
                <c:strRef>
                  <c:f>[1]iScatter!$B$194</c:f>
                  <c:strCache>
                    <c:ptCount val="1"/>
                    <c:pt idx="0">
                      <c:v>Togo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{CD787D3C-60F8-4A4B-8673-DB15F3B66346}</c15:txfldGUID>
                      <c15:f>[1]iScatter!$B$194</c15:f>
                      <c15:dlblFieldTableCache>
                        <c:ptCount val="1"/>
                        <c:pt idx="0">
                          <c:v>Togo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A-A1AD-4FCE-9FAE-BE9B29C994DB}"/>
                </c:ext>
              </c:extLst>
            </c:dLbl>
            <c:dLbl>
              <c:idx val="176"/>
              <c:tx>
                <c:strRef>
                  <c:f>[1]iScatter!$B$195</c:f>
                  <c:strCache>
                    <c:ptCount val="1"/>
                    <c:pt idx="0">
                      <c:v>Tonga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{663C22DA-11F5-4A6A-BA1B-621EA8069F1F}</c15:txfldGUID>
                      <c15:f>[1]iScatter!$B$195</c15:f>
                      <c15:dlblFieldTableCache>
                        <c:ptCount val="1"/>
                        <c:pt idx="0">
                          <c:v>Tonga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B-A1AD-4FCE-9FAE-BE9B29C994DB}"/>
                </c:ext>
              </c:extLst>
            </c:dLbl>
            <c:dLbl>
              <c:idx val="177"/>
              <c:tx>
                <c:strRef>
                  <c:f>[1]iScatter!$B$196</c:f>
                  <c:strCache>
                    <c:ptCount val="1"/>
                    <c:pt idx="0">
                      <c:v>Trinidad and Tobago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{D0559693-7A6E-4385-81CE-CE9E440DEFA9}</c15:txfldGUID>
                      <c15:f>[1]iScatter!$B$196</c15:f>
                      <c15:dlblFieldTableCache>
                        <c:ptCount val="1"/>
                        <c:pt idx="0">
                          <c:v>Trinidad and Tobago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C-A1AD-4FCE-9FAE-BE9B29C994DB}"/>
                </c:ext>
              </c:extLst>
            </c:dLbl>
            <c:dLbl>
              <c:idx val="178"/>
              <c:tx>
                <c:strRef>
                  <c:f>[1]iScatter!$B$197</c:f>
                  <c:strCache>
                    <c:ptCount val="1"/>
                    <c:pt idx="0">
                      <c:v>Tunisia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{1F005781-E67D-48DC-B45C-6D3D2102D90B}</c15:txfldGUID>
                      <c15:f>[1]iScatter!$B$197</c15:f>
                      <c15:dlblFieldTableCache>
                        <c:ptCount val="1"/>
                        <c:pt idx="0">
                          <c:v>Tunisia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D-A1AD-4FCE-9FAE-BE9B29C994DB}"/>
                </c:ext>
              </c:extLst>
            </c:dLbl>
            <c:dLbl>
              <c:idx val="179"/>
              <c:tx>
                <c:strRef>
                  <c:f>[1]iScatter!$B$198</c:f>
                  <c:strCache>
                    <c:ptCount val="1"/>
                    <c:pt idx="0">
                      <c:v>Turkey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{9208FDEF-AA18-4E11-B91E-81CFC938E937}</c15:txfldGUID>
                      <c15:f>[1]iScatter!$B$198</c15:f>
                      <c15:dlblFieldTableCache>
                        <c:ptCount val="1"/>
                        <c:pt idx="0">
                          <c:v>Turkey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E-A1AD-4FCE-9FAE-BE9B29C994DB}"/>
                </c:ext>
              </c:extLst>
            </c:dLbl>
            <c:dLbl>
              <c:idx val="180"/>
              <c:tx>
                <c:strRef>
                  <c:f>[1]iScatter!$B$199</c:f>
                  <c:strCache>
                    <c:ptCount val="1"/>
                    <c:pt idx="0">
                      <c:v>Turkmenistan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{0742E36A-0611-44E8-B1EB-E225FD2DCA8B}</c15:txfldGUID>
                      <c15:f>[1]iScatter!$B$199</c15:f>
                      <c15:dlblFieldTableCache>
                        <c:ptCount val="1"/>
                        <c:pt idx="0">
                          <c:v>Turkmenistan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BF-A1AD-4FCE-9FAE-BE9B29C994DB}"/>
                </c:ext>
              </c:extLst>
            </c:dLbl>
            <c:dLbl>
              <c:idx val="181"/>
              <c:tx>
                <c:strRef>
                  <c:f>[1]iScatter!$B$200</c:f>
                  <c:strCache>
                    <c:ptCount val="1"/>
                    <c:pt idx="0">
                      <c:v>Tuvalu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{B0FCCED2-E234-4E6C-8A05-2F469A130B18}</c15:txfldGUID>
                      <c15:f>[1]iScatter!$B$200</c15:f>
                      <c15:dlblFieldTableCache>
                        <c:ptCount val="1"/>
                        <c:pt idx="0">
                          <c:v>Tuvalu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0-A1AD-4FCE-9FAE-BE9B29C994DB}"/>
                </c:ext>
              </c:extLst>
            </c:dLbl>
            <c:dLbl>
              <c:idx val="182"/>
              <c:tx>
                <c:strRef>
                  <c:f>[1]iScatter!$B$201</c:f>
                  <c:strCache>
                    <c:ptCount val="1"/>
                    <c:pt idx="0">
                      <c:v>Uganda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{0B0AC135-DEAA-4828-AA94-F7A4551E35AE}</c15:txfldGUID>
                      <c15:f>[1]iScatter!$B$201</c15:f>
                      <c15:dlblFieldTableCache>
                        <c:ptCount val="1"/>
                        <c:pt idx="0">
                          <c:v>Uganda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1-A1AD-4FCE-9FAE-BE9B29C994DB}"/>
                </c:ext>
              </c:extLst>
            </c:dLbl>
            <c:dLbl>
              <c:idx val="183"/>
              <c:tx>
                <c:strRef>
                  <c:f>[1]iScatter!$B$202</c:f>
                  <c:strCache>
                    <c:ptCount val="1"/>
                    <c:pt idx="0">
                      <c:v>Ukraine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{83296B34-91E2-48CA-88BC-3D4A093968F7}</c15:txfldGUID>
                      <c15:f>[1]iScatter!$B$202</c15:f>
                      <c15:dlblFieldTableCache>
                        <c:ptCount val="1"/>
                        <c:pt idx="0">
                          <c:v>Ukraine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2-A1AD-4FCE-9FAE-BE9B29C994DB}"/>
                </c:ext>
              </c:extLst>
            </c:dLbl>
            <c:dLbl>
              <c:idx val="184"/>
              <c:tx>
                <c:strRef>
                  <c:f>[1]iScatter!$B$203</c:f>
                  <c:strCache>
                    <c:ptCount val="1"/>
                    <c:pt idx="0">
                      <c:v>United Arab Emirates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{9A38A449-8D46-43A0-99D2-18C3FE5F1D8A}</c15:txfldGUID>
                      <c15:f>[1]iScatter!$B$203</c15:f>
                      <c15:dlblFieldTableCache>
                        <c:ptCount val="1"/>
                        <c:pt idx="0">
                          <c:v>United Arab Emirates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3-A1AD-4FCE-9FAE-BE9B29C994DB}"/>
                </c:ext>
              </c:extLst>
            </c:dLbl>
            <c:dLbl>
              <c:idx val="185"/>
              <c:tx>
                <c:strRef>
                  <c:f>[1]iScatter!$B$204</c:f>
                  <c:strCache>
                    <c:ptCount val="1"/>
                    <c:pt idx="0">
                      <c:v>United Kingdom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{F90EB91C-CAFD-4307-8686-B54FB0FE5A74}</c15:txfldGUID>
                      <c15:f>[1]iScatter!$B$204</c15:f>
                      <c15:dlblFieldTableCache>
                        <c:ptCount val="1"/>
                        <c:pt idx="0">
                          <c:v>United Kingdom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4-A1AD-4FCE-9FAE-BE9B29C994DB}"/>
                </c:ext>
              </c:extLst>
            </c:dLbl>
            <c:dLbl>
              <c:idx val="186"/>
              <c:tx>
                <c:strRef>
                  <c:f>[1]iScatter!$B$205</c:f>
                  <c:strCache>
                    <c:ptCount val="1"/>
                    <c:pt idx="0">
                      <c:v>United States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{7676A02E-6E5D-46A3-9092-7BDDDB2BECBA}</c15:txfldGUID>
                      <c15:f>[1]iScatter!$B$205</c15:f>
                      <c15:dlblFieldTableCache>
                        <c:ptCount val="1"/>
                        <c:pt idx="0">
                          <c:v>United States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5-A1AD-4FCE-9FAE-BE9B29C994DB}"/>
                </c:ext>
              </c:extLst>
            </c:dLbl>
            <c:dLbl>
              <c:idx val="18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6-A1AD-4FCE-9FAE-BE9B29C994DB}"/>
                </c:ext>
              </c:extLst>
            </c:dLbl>
            <c:dLbl>
              <c:idx val="188"/>
              <c:tx>
                <c:strRef>
                  <c:f>[1]iScatter!$B$207</c:f>
                  <c:strCache>
                    <c:ptCount val="1"/>
                    <c:pt idx="0">
                      <c:v>Uzbekistan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{E58B36E9-CEE0-49D4-94B9-20EE75AAAD45}</c15:txfldGUID>
                      <c15:f>[1]iScatter!$B$207</c15:f>
                      <c15:dlblFieldTableCache>
                        <c:ptCount val="1"/>
                        <c:pt idx="0">
                          <c:v>Uzbekistan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7-A1AD-4FCE-9FAE-BE9B29C994DB}"/>
                </c:ext>
              </c:extLst>
            </c:dLbl>
            <c:dLbl>
              <c:idx val="189"/>
              <c:tx>
                <c:strRef>
                  <c:f>[1]iScatter!$B$208</c:f>
                  <c:strCache>
                    <c:ptCount val="1"/>
                    <c:pt idx="0">
                      <c:v>Vanuatu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{72C594A9-15D2-474B-9DA7-11CD554CE3E2}</c15:txfldGUID>
                      <c15:f>[1]iScatter!$B$208</c15:f>
                      <c15:dlblFieldTableCache>
                        <c:ptCount val="1"/>
                        <c:pt idx="0">
                          <c:v>Vanuatu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8-A1AD-4FCE-9FAE-BE9B29C994DB}"/>
                </c:ext>
              </c:extLst>
            </c:dLbl>
            <c:dLbl>
              <c:idx val="190"/>
              <c:tx>
                <c:strRef>
                  <c:f>[1]iScatter!$B$209</c:f>
                  <c:strCache>
                    <c:ptCount val="1"/>
                    <c:pt idx="0">
                      <c:v>Venezuela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{120FED25-944E-459E-9FC7-3533B799C586}</c15:txfldGUID>
                      <c15:f>[1]iScatter!$B$209</c15:f>
                      <c15:dlblFieldTableCache>
                        <c:ptCount val="1"/>
                        <c:pt idx="0">
                          <c:v>Venezuela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9-A1AD-4FCE-9FAE-BE9B29C994DB}"/>
                </c:ext>
              </c:extLst>
            </c:dLbl>
            <c:dLbl>
              <c:idx val="191"/>
              <c:tx>
                <c:strRef>
                  <c:f>[1]iScatter!$B$210</c:f>
                  <c:strCache>
                    <c:ptCount val="1"/>
                    <c:pt idx="0">
                      <c:v>Vietnam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{60C961A1-3EA9-42A1-8FD6-F5C82C1D4975}</c15:txfldGUID>
                      <c15:f>[1]iScatter!$B$210</c15:f>
                      <c15:dlblFieldTableCache>
                        <c:ptCount val="1"/>
                        <c:pt idx="0">
                          <c:v>Vietnam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A-A1AD-4FCE-9FAE-BE9B29C994DB}"/>
                </c:ext>
              </c:extLst>
            </c:dLbl>
            <c:dLbl>
              <c:idx val="192"/>
              <c:tx>
                <c:strRef>
                  <c:f>[1]iScatter!$B$211</c:f>
                  <c:strCache>
                    <c:ptCount val="1"/>
                    <c:pt idx="0">
                      <c:v>Yemen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{14F8D306-31CB-4D94-B94D-446A09D19972}</c15:txfldGUID>
                      <c15:f>[1]iScatter!$B$211</c15:f>
                      <c15:dlblFieldTableCache>
                        <c:ptCount val="1"/>
                        <c:pt idx="0">
                          <c:v>Yemen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B-A1AD-4FCE-9FAE-BE9B29C994DB}"/>
                </c:ext>
              </c:extLst>
            </c:dLbl>
            <c:dLbl>
              <c:idx val="193"/>
              <c:tx>
                <c:strRef>
                  <c:f>[1]iScatter!$B$212</c:f>
                  <c:strCache>
                    <c:ptCount val="1"/>
                    <c:pt idx="0">
                      <c:v>Zambia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{395BCBE9-2FBE-4E8C-95BE-B4F2DDFA3724}</c15:txfldGUID>
                      <c15:f>[1]iScatter!$B$212</c15:f>
                      <c15:dlblFieldTableCache>
                        <c:ptCount val="1"/>
                        <c:pt idx="0">
                          <c:v>Zambia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C-A1AD-4FCE-9FAE-BE9B29C994DB}"/>
                </c:ext>
              </c:extLst>
            </c:dLbl>
            <c:dLbl>
              <c:idx val="194"/>
              <c:tx>
                <c:strRef>
                  <c:f>[1]iScatter!$B$213</c:f>
                  <c:strCache>
                    <c:ptCount val="1"/>
                    <c:pt idx="0">
                      <c:v>Zimbabwe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{8A539FB7-59EC-4879-8AA1-7203FD4E4B78}</c15:txfldGUID>
                      <c15:f>[1]iScatter!$B$213</c15:f>
                      <c15:dlblFieldTableCache>
                        <c:ptCount val="1"/>
                        <c:pt idx="0">
                          <c:v>Zimbabwe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CD-A1AD-4FCE-9FAE-BE9B29C994DB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[1]iScatter!$T$19:$T$213</c:f>
              <c:numCache>
                <c:formatCode>General</c:formatCode>
                <c:ptCount val="1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</c:numCache>
            </c:numRef>
          </c:xVal>
          <c:yVal>
            <c:numRef>
              <c:f>[1]iScatter!$U$19:$U$213</c:f>
              <c:numCache>
                <c:formatCode>General</c:formatCode>
                <c:ptCount val="1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A1AD-4FCE-9FAE-BE9B29C994DB}"/>
            </c:ext>
          </c:extLst>
        </c:ser>
        <c:ser>
          <c:idx val="4"/>
          <c:order val="3"/>
          <c:tx>
            <c:strRef>
              <c:f>[1]iScatter!$O$23</c:f>
              <c:strCache>
                <c:ptCount val="1"/>
                <c:pt idx="0">
                  <c:v>#N/D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1659C"/>
              </a:solidFill>
              <a:ln w="9525">
                <a:noFill/>
              </a:ln>
            </c:spPr>
          </c:marker>
          <c:dLbls>
            <c:dLbl>
              <c:idx val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31659C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A1AD-4FCE-9FAE-BE9B29C994DB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31659C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[1]iScatter!$P$23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[1]iScatter!$Q$23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A1AD-4FCE-9FAE-BE9B29C994DB}"/>
            </c:ext>
          </c:extLst>
        </c:ser>
        <c:ser>
          <c:idx val="5"/>
          <c:order val="4"/>
          <c:tx>
            <c:strRef>
              <c:f>[1]iScatter!$O$27</c:f>
              <c:strCache>
                <c:ptCount val="1"/>
                <c:pt idx="0">
                  <c:v>#N/D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1659C"/>
              </a:solidFill>
              <a:ln w="9525"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[1]iScatter!$P$27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[1]iScatter!$Q$27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A1AD-4FCE-9FAE-BE9B29C994DB}"/>
            </c:ext>
          </c:extLst>
        </c:ser>
        <c:ser>
          <c:idx val="3"/>
          <c:order val="5"/>
          <c:tx>
            <c:strRef>
              <c:f>[1]iScatter!$O$19</c:f>
              <c:strCache>
                <c:ptCount val="1"/>
                <c:pt idx="0">
                  <c:v>South Korea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[1]iScatter!$O$19</c:f>
                  <c:strCache>
                    <c:ptCount val="1"/>
                    <c:pt idx="0">
                      <c:v>South Korea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{B58C30B8-E832-4C86-85DB-D638371A874E}</c15:txfldGUID>
                      <c15:f>[1]iScatter!$O$19</c15:f>
                      <c15:dlblFieldTableCache>
                        <c:ptCount val="1"/>
                        <c:pt idx="0">
                          <c:v>South Korea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D2-A1AD-4FCE-9FAE-BE9B29C994DB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[1]iScatter!$P$19</c:f>
              <c:numCache>
                <c:formatCode>General</c:formatCode>
                <c:ptCount val="1"/>
                <c:pt idx="0">
                  <c:v>70.2</c:v>
                </c:pt>
              </c:numCache>
            </c:numRef>
          </c:xVal>
          <c:yVal>
            <c:numRef>
              <c:f>[1]iScatter!$Q$19</c:f>
              <c:numCache>
                <c:formatCode>General</c:formatCode>
                <c:ptCount val="1"/>
                <c:pt idx="0">
                  <c:v>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A1AD-4FCE-9FAE-BE9B29C99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11360"/>
        <c:axId val="482914816"/>
      </c:scatterChart>
      <c:valAx>
        <c:axId val="482911360"/>
        <c:scaling>
          <c:orientation val="minMax"/>
          <c:max val="75"/>
          <c:min val="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val="4F81BD">
                      <a:lumMod val="60000"/>
                      <a:lumOff val="40000"/>
                    </a:srgbClr>
                  </a:solidFill>
                  <a:prstDash val="solid"/>
                  <a:round/>
                </a14:hiddenLine>
              </a:ext>
            </a:extLst>
          </c:spPr>
        </c:majorGridlines>
        <c:title>
          <c:tx>
            <c:strRef>
              <c:f>[1]iScatter!$B$9</c:f>
              <c:strCache>
                <c:ptCount val="1"/>
                <c:pt idx="0">
                  <c:v>OVERALL SCORE </c:v>
                </c:pt>
              </c:strCache>
            </c:strRef>
          </c:tx>
          <c:layout>
            <c:manualLayout>
              <c:xMode val="edge"/>
              <c:yMode val="edge"/>
              <c:x val="0.35768072950663105"/>
              <c:y val="0.9370875387962769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defRPr>
              </a:pPr>
              <a:endParaRPr lang="pt-BR"/>
            </a:p>
          </c:txPr>
        </c:title>
        <c:numFmt formatCode="#.##0" sourceLinked="0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69696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82914816"/>
        <c:crosses val="autoZero"/>
        <c:crossBetween val="midCat"/>
      </c:valAx>
      <c:valAx>
        <c:axId val="482914816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rgbClr val="4F81BD">
                      <a:lumMod val="60000"/>
                      <a:lumOff val="40000"/>
                    </a:srgbClr>
                  </a:solidFill>
                  <a:prstDash val="solid"/>
                  <a:round/>
                </a14:hiddenLine>
              </a:ext>
            </a:extLst>
          </c:spPr>
        </c:majorGridlines>
        <c:title>
          <c:tx>
            <c:strRef>
              <c:f>[1]iScatter!$B$10</c:f>
              <c:strCache>
                <c:ptCount val="1"/>
                <c:pt idx="0">
                  <c:v>1) PREVENTION OF THE EMERGENCE OR RELEASE OF PATHOGENS </c:v>
                </c:pt>
              </c:strCache>
            </c:strRef>
          </c:tx>
          <c:layout>
            <c:manualLayout>
              <c:xMode val="edge"/>
              <c:yMode val="edge"/>
              <c:x val="2.6256354938848561E-3"/>
              <c:y val="0.24854112909531634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defRPr>
              </a:pPr>
              <a:endParaRPr lang="pt-BR"/>
            </a:p>
          </c:txPr>
        </c:title>
        <c:numFmt formatCode="#.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969696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82911360"/>
        <c:crosses val="autoZero"/>
        <c:crossBetween val="midCat"/>
      </c:valAx>
      <c:spPr>
        <a:solidFill>
          <a:schemeClr val="bg1">
            <a:lumMod val="95000"/>
            <a:alpha val="20000"/>
          </a:schemeClr>
        </a:solidFill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'Txs atividade, ocup etc'!$A$18</c:f>
              <c:strCache>
                <c:ptCount val="1"/>
                <c:pt idx="0">
                  <c:v>Argentina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0"/>
                  <c:y val="4.2253523469752878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B2-440A-99BC-AD7E7694F4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etc'!$B$16:$E$17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activity</c:v>
                  </c:pt>
                </c:lvl>
              </c:multiLvlStrCache>
            </c:multiLvlStrRef>
          </c:cat>
          <c:val>
            <c:numRef>
              <c:f>'Txs atividade, ocup etc'!$B$18:$E$18</c:f>
              <c:numCache>
                <c:formatCode>0.0</c:formatCode>
                <c:ptCount val="4"/>
                <c:pt idx="0">
                  <c:v>100</c:v>
                </c:pt>
                <c:pt idx="1">
                  <c:v>83.959044368600686</c:v>
                </c:pt>
                <c:pt idx="2">
                  <c:v>92.832764505119442</c:v>
                </c:pt>
                <c:pt idx="3">
                  <c:v>97.78156996587029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2-440A-99BC-AD7E7694F4BE}"/>
            </c:ext>
          </c:extLst>
        </c:ser>
        <c:ser>
          <c:idx val="1"/>
          <c:order val="1"/>
          <c:tx>
            <c:strRef>
              <c:f>'Txs atividade, ocup etc'!$A$19</c:f>
              <c:strCache>
                <c:ptCount val="1"/>
                <c:pt idx="0">
                  <c:v>Bolivia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0B2-440A-99BC-AD7E7694F4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etc'!$B$16:$E$17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activity</c:v>
                  </c:pt>
                </c:lvl>
              </c:multiLvlStrCache>
            </c:multiLvlStrRef>
          </c:cat>
          <c:val>
            <c:numRef>
              <c:f>'Txs atividade, ocup etc'!$B$19:$E$19</c:f>
              <c:numCache>
                <c:formatCode>0.0</c:formatCode>
                <c:ptCount val="4"/>
                <c:pt idx="0">
                  <c:v>100</c:v>
                </c:pt>
                <c:pt idx="1">
                  <c:v>88.260869565217391</c:v>
                </c:pt>
                <c:pt idx="2">
                  <c:v>93.043478260869577</c:v>
                </c:pt>
                <c:pt idx="3">
                  <c:v>100.14492753623188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2-440A-99BC-AD7E7694F4BE}"/>
            </c:ext>
          </c:extLst>
        </c:ser>
        <c:ser>
          <c:idx val="2"/>
          <c:order val="2"/>
          <c:tx>
            <c:strRef>
              <c:f>'Txs atividade, ocup etc'!$A$20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0B2-440A-99BC-AD7E7694F4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etc'!$B$16:$E$17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activity</c:v>
                  </c:pt>
                </c:lvl>
              </c:multiLvlStrCache>
            </c:multiLvlStrRef>
          </c:cat>
          <c:val>
            <c:numRef>
              <c:f>'Txs atividade, ocup etc'!$B$20:$E$20</c:f>
              <c:numCache>
                <c:formatCode>0.0</c:formatCode>
                <c:ptCount val="4"/>
                <c:pt idx="0">
                  <c:v>100</c:v>
                </c:pt>
                <c:pt idx="1">
                  <c:v>90.655737704918025</c:v>
                </c:pt>
                <c:pt idx="2">
                  <c:v>90.327868852459019</c:v>
                </c:pt>
                <c:pt idx="3">
                  <c:v>93.114754098360649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2-440A-99BC-AD7E7694F4BE}"/>
            </c:ext>
          </c:extLst>
        </c:ser>
        <c:ser>
          <c:idx val="3"/>
          <c:order val="3"/>
          <c:tx>
            <c:strRef>
              <c:f>'Txs atividade, ocup etc'!$A$21</c:f>
              <c:strCache>
                <c:ptCount val="1"/>
                <c:pt idx="0">
                  <c:v>Chile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0B2-440A-99BC-AD7E7694F4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etc'!$B$16:$E$17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activity</c:v>
                  </c:pt>
                </c:lvl>
              </c:multiLvlStrCache>
            </c:multiLvlStrRef>
          </c:cat>
          <c:val>
            <c:numRef>
              <c:f>'Txs atividade, ocup etc'!$B$21:$E$21</c:f>
              <c:numCache>
                <c:formatCode>0.0</c:formatCode>
                <c:ptCount val="4"/>
                <c:pt idx="0">
                  <c:v>100</c:v>
                </c:pt>
                <c:pt idx="1">
                  <c:v>83.04</c:v>
                </c:pt>
                <c:pt idx="2">
                  <c:v>85.44</c:v>
                </c:pt>
                <c:pt idx="3">
                  <c:v>90.56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2-440A-99BC-AD7E7694F4BE}"/>
            </c:ext>
          </c:extLst>
        </c:ser>
        <c:ser>
          <c:idx val="4"/>
          <c:order val="4"/>
          <c:tx>
            <c:strRef>
              <c:f>'Txs atividade, ocup etc'!$A$22</c:f>
              <c:strCache>
                <c:ptCount val="1"/>
                <c:pt idx="0">
                  <c:v>Colombia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1.84372262738146E-2"/>
                  <c:y val="-6.1267609031141701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0B2-440A-99BC-AD7E7694F4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etc'!$B$16:$E$17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activity</c:v>
                  </c:pt>
                </c:lvl>
              </c:multiLvlStrCache>
            </c:multiLvlStrRef>
          </c:cat>
          <c:val>
            <c:numRef>
              <c:f>'Txs atividade, ocup etc'!$B$22:$E$22</c:f>
              <c:numCache>
                <c:formatCode>0.0</c:formatCode>
                <c:ptCount val="4"/>
                <c:pt idx="0">
                  <c:v>100</c:v>
                </c:pt>
                <c:pt idx="1">
                  <c:v>88.961038961038952</c:v>
                </c:pt>
                <c:pt idx="2">
                  <c:v>95.129870129870127</c:v>
                </c:pt>
                <c:pt idx="3">
                  <c:v>100.32467532467533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2-440A-99BC-AD7E7694F4BE}"/>
            </c:ext>
          </c:extLst>
        </c:ser>
        <c:ser>
          <c:idx val="5"/>
          <c:order val="5"/>
          <c:tx>
            <c:strRef>
              <c:f>'Txs atividade, ocup etc'!$A$23</c:f>
              <c:strCache>
                <c:ptCount val="1"/>
                <c:pt idx="0">
                  <c:v>Costa Rica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0B2-440A-99BC-AD7E7694F4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etc'!$B$16:$E$17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activity</c:v>
                  </c:pt>
                </c:lvl>
              </c:multiLvlStrCache>
            </c:multiLvlStrRef>
          </c:cat>
          <c:val>
            <c:numRef>
              <c:f>'Txs atividade, ocup etc'!$B$23:$E$23</c:f>
              <c:numCache>
                <c:formatCode>0.0</c:formatCode>
                <c:ptCount val="4"/>
                <c:pt idx="0">
                  <c:v>100</c:v>
                </c:pt>
                <c:pt idx="1">
                  <c:v>90.851735015772874</c:v>
                </c:pt>
                <c:pt idx="2">
                  <c:v>93.217665615141968</c:v>
                </c:pt>
                <c:pt idx="3">
                  <c:v>95.899053627760239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B2-440A-99BC-AD7E7694F4BE}"/>
            </c:ext>
          </c:extLst>
        </c:ser>
        <c:ser>
          <c:idx val="6"/>
          <c:order val="6"/>
          <c:tx>
            <c:strRef>
              <c:f>'Txs atividade, ocup etc'!$A$24</c:f>
              <c:strCache>
                <c:ptCount val="1"/>
                <c:pt idx="0">
                  <c:v>Mexico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1.3169447338437206E-3"/>
                  <c:y val="2.7464790255339374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0B2-440A-99BC-AD7E7694F4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etc'!$B$16:$E$17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activity</c:v>
                  </c:pt>
                </c:lvl>
              </c:multiLvlStrCache>
            </c:multiLvlStrRef>
          </c:cat>
          <c:val>
            <c:numRef>
              <c:f>'Txs atividade, ocup etc'!$B$24:$E$24</c:f>
              <c:numCache>
                <c:formatCode>0.0</c:formatCode>
                <c:ptCount val="4"/>
                <c:pt idx="0">
                  <c:v>100</c:v>
                </c:pt>
                <c:pt idx="1">
                  <c:v>82.470784641068448</c:v>
                </c:pt>
                <c:pt idx="2">
                  <c:v>92.654424040066786</c:v>
                </c:pt>
                <c:pt idx="3">
                  <c:v>95.99332220367279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B2-440A-99BC-AD7E7694F4BE}"/>
            </c:ext>
          </c:extLst>
        </c:ser>
        <c:ser>
          <c:idx val="7"/>
          <c:order val="7"/>
          <c:tx>
            <c:strRef>
              <c:f>'Txs atividade, ocup etc'!$A$25</c:f>
              <c:strCache>
                <c:ptCount val="1"/>
                <c:pt idx="0">
                  <c:v>Nicaragua 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0"/>
                  <c:y val="8.450704693950575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0B2-440A-99BC-AD7E7694F4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etc'!$B$16:$E$17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activity</c:v>
                  </c:pt>
                </c:lvl>
              </c:multiLvlStrCache>
            </c:multiLvlStrRef>
          </c:cat>
          <c:val>
            <c:numRef>
              <c:f>'Txs atividade, ocup etc'!$B$25:$E$25</c:f>
              <c:numCache>
                <c:formatCode>0.0</c:formatCode>
                <c:ptCount val="4"/>
                <c:pt idx="0">
                  <c:v>100</c:v>
                </c:pt>
                <c:pt idx="1">
                  <c:v>93.661971830985919</c:v>
                </c:pt>
                <c:pt idx="2">
                  <c:v>96.197183098591537</c:v>
                </c:pt>
                <c:pt idx="3">
                  <c:v>99.295774647887328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0B2-440A-99BC-AD7E7694F4BE}"/>
            </c:ext>
          </c:extLst>
        </c:ser>
        <c:ser>
          <c:idx val="8"/>
          <c:order val="8"/>
          <c:tx>
            <c:strRef>
              <c:f>'Txs atividade, ocup etc'!$A$26</c:f>
              <c:strCache>
                <c:ptCount val="1"/>
                <c:pt idx="0">
                  <c:v>Paraguay 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0B2-440A-99BC-AD7E7694F4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etc'!$B$16:$E$17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activity</c:v>
                  </c:pt>
                </c:lvl>
              </c:multiLvlStrCache>
            </c:multiLvlStrRef>
          </c:cat>
          <c:val>
            <c:numRef>
              <c:f>'Txs atividade, ocup etc'!$B$26:$E$26</c:f>
              <c:numCache>
                <c:formatCode>0.0</c:formatCode>
                <c:ptCount val="4"/>
                <c:pt idx="0">
                  <c:v>100</c:v>
                </c:pt>
                <c:pt idx="1">
                  <c:v>93.67977528089888</c:v>
                </c:pt>
                <c:pt idx="2">
                  <c:v>99.297752808988761</c:v>
                </c:pt>
                <c:pt idx="3">
                  <c:v>101.68539325842696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0B2-440A-99BC-AD7E7694F4BE}"/>
            </c:ext>
          </c:extLst>
        </c:ser>
        <c:ser>
          <c:idx val="9"/>
          <c:order val="9"/>
          <c:tx>
            <c:strRef>
              <c:f>'Txs atividade, ocup etc'!$A$27</c:f>
              <c:strCache>
                <c:ptCount val="1"/>
                <c:pt idx="0">
                  <c:v>Peru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5.5311678821444478E-2"/>
                  <c:y val="-6.126760903114168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0B2-440A-99BC-AD7E7694F4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etc'!$B$16:$E$17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activity</c:v>
                  </c:pt>
                </c:lvl>
              </c:multiLvlStrCache>
            </c:multiLvlStrRef>
          </c:cat>
          <c:val>
            <c:numRef>
              <c:f>'Txs atividade, ocup etc'!$B$27:$E$27</c:f>
              <c:numCache>
                <c:formatCode>0.0</c:formatCode>
                <c:ptCount val="4"/>
                <c:pt idx="0">
                  <c:v>100</c:v>
                </c:pt>
                <c:pt idx="1">
                  <c:v>64.529914529914521</c:v>
                </c:pt>
                <c:pt idx="2">
                  <c:v>90.170940170940156</c:v>
                </c:pt>
                <c:pt idx="3">
                  <c:v>100.42735042735043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0B2-440A-99BC-AD7E7694F4BE}"/>
            </c:ext>
          </c:extLst>
        </c:ser>
        <c:ser>
          <c:idx val="10"/>
          <c:order val="10"/>
          <c:tx>
            <c:strRef>
              <c:f>'Txs atividade, ocup etc'!$A$28</c:f>
              <c:strCache>
                <c:ptCount val="1"/>
                <c:pt idx="0">
                  <c:v>Uruguay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0.19754171007658716"/>
                  <c:y val="-4.4366199643240546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0B2-440A-99BC-AD7E7694F4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etc'!$B$16:$E$17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activity</c:v>
                  </c:pt>
                </c:lvl>
              </c:multiLvlStrCache>
            </c:multiLvlStrRef>
          </c:cat>
          <c:val>
            <c:numRef>
              <c:f>'Txs atividade, ocup etc'!$B$28:$E$28</c:f>
              <c:numCache>
                <c:formatCode>0.0</c:formatCode>
                <c:ptCount val="4"/>
                <c:pt idx="0">
                  <c:v>100</c:v>
                </c:pt>
                <c:pt idx="1">
                  <c:v>95.454545454545453</c:v>
                </c:pt>
                <c:pt idx="2">
                  <c:v>97.889610389610382</c:v>
                </c:pt>
                <c:pt idx="3">
                  <c:v>99.837662337662337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0B2-440A-99BC-AD7E7694F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461688"/>
        <c:axId val="590884152"/>
      </c:lineChart>
      <c:catAx>
        <c:axId val="442461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0884152"/>
        <c:crosses val="autoZero"/>
        <c:auto val="1"/>
        <c:lblAlgn val="ctr"/>
        <c:lblOffset val="100"/>
        <c:noMultiLvlLbl val="0"/>
      </c:catAx>
      <c:valAx>
        <c:axId val="590884152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46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'Txs atividade, ocup etc'!$F$18</c:f>
              <c:strCache>
                <c:ptCount val="1"/>
                <c:pt idx="0">
                  <c:v>Argentina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1.3169447338439138E-3"/>
                  <c:y val="1.6901409387901151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CA-457B-BCD7-5A397E0B3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etc'!$G$16:$J$17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occupation</c:v>
                  </c:pt>
                </c:lvl>
              </c:multiLvlStrCache>
            </c:multiLvlStrRef>
          </c:cat>
          <c:val>
            <c:numRef>
              <c:f>'Txs atividade, ocup etc'!$G$18:$J$18</c:f>
              <c:numCache>
                <c:formatCode>0.0</c:formatCode>
                <c:ptCount val="4"/>
                <c:pt idx="0">
                  <c:v>100</c:v>
                </c:pt>
                <c:pt idx="1">
                  <c:v>81.523809523809518</c:v>
                </c:pt>
                <c:pt idx="2">
                  <c:v>91.61904761904762</c:v>
                </c:pt>
                <c:pt idx="3">
                  <c:v>97.142857142857139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A-457B-BCD7-5A397E0B3F0F}"/>
            </c:ext>
          </c:extLst>
        </c:ser>
        <c:ser>
          <c:idx val="1"/>
          <c:order val="1"/>
          <c:tx>
            <c:strRef>
              <c:f>'Txs atividade, ocup etc'!$F$19</c:f>
              <c:strCache>
                <c:ptCount val="1"/>
                <c:pt idx="0">
                  <c:v>Bolivia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0"/>
                  <c:y val="2.1126761734876053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7CA-457B-BCD7-5A397E0B3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etc'!$G$16:$J$17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occupation</c:v>
                  </c:pt>
                </c:lvl>
              </c:multiLvlStrCache>
            </c:multiLvlStrRef>
          </c:cat>
          <c:val>
            <c:numRef>
              <c:f>'Txs atividade, ocup etc'!$G$19:$J$19</c:f>
              <c:numCache>
                <c:formatCode>0.0</c:formatCode>
                <c:ptCount val="4"/>
                <c:pt idx="0">
                  <c:v>100</c:v>
                </c:pt>
                <c:pt idx="1">
                  <c:v>85.84615384615384</c:v>
                </c:pt>
                <c:pt idx="2">
                  <c:v>88.153846153846146</c:v>
                </c:pt>
                <c:pt idx="3">
                  <c:v>97.384615384615387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A-457B-BCD7-5A397E0B3F0F}"/>
            </c:ext>
          </c:extLst>
        </c:ser>
        <c:ser>
          <c:idx val="2"/>
          <c:order val="2"/>
          <c:tx>
            <c:strRef>
              <c:f>'Txs atividade, ocup etc'!$F$20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7CA-457B-BCD7-5A397E0B3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etc'!$G$16:$J$17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occupation</c:v>
                  </c:pt>
                </c:lvl>
              </c:multiLvlStrCache>
            </c:multiLvlStrRef>
          </c:cat>
          <c:val>
            <c:numRef>
              <c:f>'Txs atividade, ocup etc'!$G$20:$J$20</c:f>
              <c:numCache>
                <c:formatCode>0.0</c:formatCode>
                <c:ptCount val="4"/>
                <c:pt idx="0">
                  <c:v>100</c:v>
                </c:pt>
                <c:pt idx="1">
                  <c:v>89.532710280373834</c:v>
                </c:pt>
                <c:pt idx="2">
                  <c:v>88.037383177570092</c:v>
                </c:pt>
                <c:pt idx="3">
                  <c:v>91.401869158878498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CA-457B-BCD7-5A397E0B3F0F}"/>
            </c:ext>
          </c:extLst>
        </c:ser>
        <c:ser>
          <c:idx val="3"/>
          <c:order val="3"/>
          <c:tx>
            <c:strRef>
              <c:f>'Txs atividade, ocup etc'!$F$21</c:f>
              <c:strCache>
                <c:ptCount val="1"/>
                <c:pt idx="0">
                  <c:v>Chile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7CA-457B-BCD7-5A397E0B3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etc'!$G$16:$J$17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occupation</c:v>
                  </c:pt>
                </c:lvl>
              </c:multiLvlStrCache>
            </c:multiLvlStrRef>
          </c:cat>
          <c:val>
            <c:numRef>
              <c:f>'Txs atividade, ocup etc'!$G$21:$J$21</c:f>
              <c:numCache>
                <c:formatCode>0.0</c:formatCode>
                <c:ptCount val="4"/>
                <c:pt idx="0">
                  <c:v>100</c:v>
                </c:pt>
                <c:pt idx="1">
                  <c:v>79.581151832460733</c:v>
                </c:pt>
                <c:pt idx="2">
                  <c:v>81.675392670157066</c:v>
                </c:pt>
                <c:pt idx="3">
                  <c:v>88.656195462478181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CA-457B-BCD7-5A397E0B3F0F}"/>
            </c:ext>
          </c:extLst>
        </c:ser>
        <c:ser>
          <c:idx val="4"/>
          <c:order val="4"/>
          <c:tx>
            <c:strRef>
              <c:f>'Txs atividade, ocup etc'!$F$22</c:f>
              <c:strCache>
                <c:ptCount val="1"/>
                <c:pt idx="0">
                  <c:v>Colombia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1.3169447338439138E-3"/>
                  <c:y val="-6.3380285204629712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7CA-457B-BCD7-5A397E0B3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etc'!$G$16:$J$17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occupation</c:v>
                  </c:pt>
                </c:lvl>
              </c:multiLvlStrCache>
            </c:multiLvlStrRef>
          </c:cat>
          <c:val>
            <c:numRef>
              <c:f>'Txs atividade, ocup etc'!$G$22:$J$22</c:f>
              <c:numCache>
                <c:formatCode>0.0</c:formatCode>
                <c:ptCount val="4"/>
                <c:pt idx="0">
                  <c:v>100</c:v>
                </c:pt>
                <c:pt idx="1">
                  <c:v>81.226765799256512</c:v>
                </c:pt>
                <c:pt idx="2">
                  <c:v>89.962825278810413</c:v>
                </c:pt>
                <c:pt idx="3">
                  <c:v>99.070631970260223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A-457B-BCD7-5A397E0B3F0F}"/>
            </c:ext>
          </c:extLst>
        </c:ser>
        <c:ser>
          <c:idx val="5"/>
          <c:order val="5"/>
          <c:tx>
            <c:strRef>
              <c:f>'Txs atividade, ocup etc'!$F$23</c:f>
              <c:strCache>
                <c:ptCount val="1"/>
                <c:pt idx="0">
                  <c:v>Costa Rica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2.6338894676878276E-3"/>
                  <c:y val="8.4507046939504993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7CA-457B-BCD7-5A397E0B3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etc'!$G$16:$J$17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occupation</c:v>
                  </c:pt>
                </c:lvl>
              </c:multiLvlStrCache>
            </c:multiLvlStrRef>
          </c:cat>
          <c:val>
            <c:numRef>
              <c:f>'Txs atividade, ocup etc'!$G$23:$J$23</c:f>
              <c:numCache>
                <c:formatCode>0.0</c:formatCode>
                <c:ptCount val="4"/>
                <c:pt idx="0">
                  <c:v>100</c:v>
                </c:pt>
                <c:pt idx="1">
                  <c:v>78.738738738738746</c:v>
                </c:pt>
                <c:pt idx="2">
                  <c:v>83.063063063063069</c:v>
                </c:pt>
                <c:pt idx="3">
                  <c:v>87.747747747747752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7CA-457B-BCD7-5A397E0B3F0F}"/>
            </c:ext>
          </c:extLst>
        </c:ser>
        <c:ser>
          <c:idx val="6"/>
          <c:order val="6"/>
          <c:tx>
            <c:strRef>
              <c:f>'Txs atividade, ocup etc'!$F$24</c:f>
              <c:strCache>
                <c:ptCount val="1"/>
                <c:pt idx="0">
                  <c:v>Mexico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7CA-457B-BCD7-5A397E0B3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etc'!$G$16:$J$17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occupation</c:v>
                  </c:pt>
                </c:lvl>
              </c:multiLvlStrCache>
            </c:multiLvlStrRef>
          </c:cat>
          <c:val>
            <c:numRef>
              <c:f>'Txs atividade, ocup etc'!$G$24:$J$24</c:f>
              <c:numCache>
                <c:formatCode>0.0</c:formatCode>
                <c:ptCount val="4"/>
                <c:pt idx="0">
                  <c:v>100</c:v>
                </c:pt>
                <c:pt idx="1">
                  <c:v>81.31487889273356</c:v>
                </c:pt>
                <c:pt idx="2">
                  <c:v>91.003460207612463</c:v>
                </c:pt>
                <c:pt idx="3">
                  <c:v>94.982698961937714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7CA-457B-BCD7-5A397E0B3F0F}"/>
            </c:ext>
          </c:extLst>
        </c:ser>
        <c:ser>
          <c:idx val="7"/>
          <c:order val="7"/>
          <c:tx>
            <c:strRef>
              <c:f>'Txs atividade, ocup etc'!$F$25</c:f>
              <c:strCache>
                <c:ptCount val="1"/>
                <c:pt idx="0">
                  <c:v>Nicaragua 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2.6338894676878276E-3"/>
                  <c:y val="-1.4788733214413548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7CA-457B-BCD7-5A397E0B3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etc'!$G$16:$J$17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occupation</c:v>
                  </c:pt>
                </c:lvl>
              </c:multiLvlStrCache>
            </c:multiLvlStrRef>
          </c:cat>
          <c:val>
            <c:numRef>
              <c:f>'Txs atividade, ocup etc'!$G$25:$J$25</c:f>
              <c:numCache>
                <c:formatCode>0.0</c:formatCode>
                <c:ptCount val="4"/>
                <c:pt idx="0">
                  <c:v>100</c:v>
                </c:pt>
                <c:pt idx="1">
                  <c:v>93.047337278106511</c:v>
                </c:pt>
                <c:pt idx="2">
                  <c:v>96.15384615384616</c:v>
                </c:pt>
                <c:pt idx="3">
                  <c:v>99.852071005917168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7CA-457B-BCD7-5A397E0B3F0F}"/>
            </c:ext>
          </c:extLst>
        </c:ser>
        <c:ser>
          <c:idx val="8"/>
          <c:order val="8"/>
          <c:tx>
            <c:strRef>
              <c:f>'Txs atividade, ocup etc'!$F$26</c:f>
              <c:strCache>
                <c:ptCount val="1"/>
                <c:pt idx="0">
                  <c:v>Paraguay 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7CA-457B-BCD7-5A397E0B3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etc'!$G$16:$J$17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occupation</c:v>
                  </c:pt>
                </c:lvl>
              </c:multiLvlStrCache>
            </c:multiLvlStrRef>
          </c:cat>
          <c:val>
            <c:numRef>
              <c:f>'Txs atividade, ocup etc'!$G$26:$J$26</c:f>
              <c:numCache>
                <c:formatCode>0.0</c:formatCode>
                <c:ptCount val="4"/>
                <c:pt idx="0">
                  <c:v>100</c:v>
                </c:pt>
                <c:pt idx="1">
                  <c:v>93.902439024390247</c:v>
                </c:pt>
                <c:pt idx="2">
                  <c:v>98.932926829268311</c:v>
                </c:pt>
                <c:pt idx="3">
                  <c:v>102.28658536585367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7CA-457B-BCD7-5A397E0B3F0F}"/>
            </c:ext>
          </c:extLst>
        </c:ser>
        <c:ser>
          <c:idx val="9"/>
          <c:order val="9"/>
          <c:tx>
            <c:strRef>
              <c:f>'Txs atividade, ocup etc'!$F$27</c:f>
              <c:strCache>
                <c:ptCount val="1"/>
                <c:pt idx="0">
                  <c:v>Peru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7CA-457B-BCD7-5A397E0B3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etc'!$G$16:$J$17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occupation</c:v>
                  </c:pt>
                </c:lvl>
              </c:multiLvlStrCache>
            </c:multiLvlStrRef>
          </c:cat>
          <c:val>
            <c:numRef>
              <c:f>'Txs atividade, ocup etc'!$G$27:$J$27</c:f>
              <c:numCache>
                <c:formatCode>0.0</c:formatCode>
                <c:ptCount val="4"/>
                <c:pt idx="0">
                  <c:v>100</c:v>
                </c:pt>
                <c:pt idx="1">
                  <c:v>62.012012012012008</c:v>
                </c:pt>
                <c:pt idx="2">
                  <c:v>85.885885885885898</c:v>
                </c:pt>
                <c:pt idx="3">
                  <c:v>98.498498498498492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7CA-457B-BCD7-5A397E0B3F0F}"/>
            </c:ext>
          </c:extLst>
        </c:ser>
        <c:ser>
          <c:idx val="10"/>
          <c:order val="10"/>
          <c:tx>
            <c:strRef>
              <c:f>'Txs atividade, ocup etc'!$F$28</c:f>
              <c:strCache>
                <c:ptCount val="1"/>
                <c:pt idx="0">
                  <c:v>Uruguay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7.3748905095259276E-2"/>
                  <c:y val="-9.7183103980431632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7CA-457B-BCD7-5A397E0B3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etc'!$G$16:$J$17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Rate of occupation</c:v>
                  </c:pt>
                </c:lvl>
              </c:multiLvlStrCache>
            </c:multiLvlStrRef>
          </c:cat>
          <c:val>
            <c:numRef>
              <c:f>'Txs atividade, ocup etc'!$G$28:$J$28</c:f>
              <c:numCache>
                <c:formatCode>0.0</c:formatCode>
                <c:ptCount val="4"/>
                <c:pt idx="0">
                  <c:v>100</c:v>
                </c:pt>
                <c:pt idx="1">
                  <c:v>95.143884892086334</c:v>
                </c:pt>
                <c:pt idx="2">
                  <c:v>96.762589928057551</c:v>
                </c:pt>
                <c:pt idx="3">
                  <c:v>98.561151079136692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A-457B-BCD7-5A397E0B3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663568"/>
        <c:axId val="442422648"/>
      </c:lineChart>
      <c:catAx>
        <c:axId val="43666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422648"/>
        <c:crosses val="autoZero"/>
        <c:auto val="1"/>
        <c:lblAlgn val="ctr"/>
        <c:lblOffset val="100"/>
        <c:noMultiLvlLbl val="0"/>
      </c:catAx>
      <c:valAx>
        <c:axId val="442422648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666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'Txs atividade, ocup etc'!$K$18</c:f>
              <c:strCache>
                <c:ptCount val="1"/>
                <c:pt idx="0">
                  <c:v>Argentina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73-4E3B-80E9-98C11AA50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etc'!$L$16:$O$17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Unemployment</c:v>
                  </c:pt>
                </c:lvl>
              </c:multiLvlStrCache>
            </c:multiLvlStrRef>
          </c:cat>
          <c:val>
            <c:numRef>
              <c:f>'Txs atividade, ocup etc'!$L$18:$O$18</c:f>
              <c:numCache>
                <c:formatCode>0.0</c:formatCode>
                <c:ptCount val="4"/>
                <c:pt idx="0">
                  <c:v>100</c:v>
                </c:pt>
                <c:pt idx="1">
                  <c:v>125.96153846153845</c:v>
                </c:pt>
                <c:pt idx="2">
                  <c:v>112.5</c:v>
                </c:pt>
                <c:pt idx="3">
                  <c:v>105.76923076923077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73-4E3B-80E9-98C11AA50F99}"/>
            </c:ext>
          </c:extLst>
        </c:ser>
        <c:ser>
          <c:idx val="1"/>
          <c:order val="1"/>
          <c:tx>
            <c:strRef>
              <c:f>'Txs atividade, ocup etc'!$K$19</c:f>
              <c:strCache>
                <c:ptCount val="1"/>
                <c:pt idx="0">
                  <c:v>Bolivia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73-4E3B-80E9-98C11AA50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etc'!$L$16:$O$17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Unemployment</c:v>
                  </c:pt>
                </c:lvl>
              </c:multiLvlStrCache>
            </c:multiLvlStrRef>
          </c:cat>
          <c:val>
            <c:numRef>
              <c:f>'Txs atividade, ocup etc'!$L$19:$O$19</c:f>
              <c:numCache>
                <c:formatCode>0.0</c:formatCode>
                <c:ptCount val="4"/>
                <c:pt idx="0">
                  <c:v>100</c:v>
                </c:pt>
                <c:pt idx="1">
                  <c:v>144.82758620689654</c:v>
                </c:pt>
                <c:pt idx="2">
                  <c:v>186.20689655172416</c:v>
                </c:pt>
                <c:pt idx="3">
                  <c:v>144.82758620689654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73-4E3B-80E9-98C11AA50F99}"/>
            </c:ext>
          </c:extLst>
        </c:ser>
        <c:ser>
          <c:idx val="2"/>
          <c:order val="2"/>
          <c:tx>
            <c:strRef>
              <c:f>'Txs atividade, ocup etc'!$K$20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2.6338894676878276E-3"/>
                  <c:y val="-2.5352114081851805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E73-4E3B-80E9-98C11AA50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etc'!$L$16:$O$17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Unemployment</c:v>
                  </c:pt>
                </c:lvl>
              </c:multiLvlStrCache>
            </c:multiLvlStrRef>
          </c:cat>
          <c:val>
            <c:numRef>
              <c:f>'Txs atividade, ocup etc'!$L$20:$O$20</c:f>
              <c:numCache>
                <c:formatCode>0.0</c:formatCode>
                <c:ptCount val="4"/>
                <c:pt idx="0">
                  <c:v>100</c:v>
                </c:pt>
                <c:pt idx="1">
                  <c:v>109.01639344262297</c:v>
                </c:pt>
                <c:pt idx="2">
                  <c:v>119.67213114754098</c:v>
                </c:pt>
                <c:pt idx="3">
                  <c:v>113.9344262295082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73-4E3B-80E9-98C11AA50F99}"/>
            </c:ext>
          </c:extLst>
        </c:ser>
        <c:ser>
          <c:idx val="3"/>
          <c:order val="3"/>
          <c:tx>
            <c:strRef>
              <c:f>'Txs atividade, ocup etc'!$K$21</c:f>
              <c:strCache>
                <c:ptCount val="1"/>
                <c:pt idx="0">
                  <c:v>Chile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E73-4E3B-80E9-98C11AA50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etc'!$L$16:$O$17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Unemployment</c:v>
                  </c:pt>
                </c:lvl>
              </c:multiLvlStrCache>
            </c:multiLvlStrRef>
          </c:cat>
          <c:val>
            <c:numRef>
              <c:f>'Txs atividade, ocup etc'!$L$21:$O$21</c:f>
              <c:numCache>
                <c:formatCode>0.0</c:formatCode>
                <c:ptCount val="4"/>
                <c:pt idx="0">
                  <c:v>100</c:v>
                </c:pt>
                <c:pt idx="1">
                  <c:v>148.78048780487805</c:v>
                </c:pt>
                <c:pt idx="2">
                  <c:v>150.00000000000003</c:v>
                </c:pt>
                <c:pt idx="3">
                  <c:v>125.609756097561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73-4E3B-80E9-98C11AA50F99}"/>
            </c:ext>
          </c:extLst>
        </c:ser>
        <c:ser>
          <c:idx val="4"/>
          <c:order val="4"/>
          <c:tx>
            <c:strRef>
              <c:f>'Txs atividade, ocup etc'!$K$22</c:f>
              <c:strCache>
                <c:ptCount val="1"/>
                <c:pt idx="0">
                  <c:v>Colombia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E73-4E3B-80E9-98C11AA50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etc'!$L$16:$O$17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Unemployment</c:v>
                  </c:pt>
                </c:lvl>
              </c:multiLvlStrCache>
            </c:multiLvlStrRef>
          </c:cat>
          <c:val>
            <c:numRef>
              <c:f>'Txs atividade, ocup etc'!$L$22:$O$22</c:f>
              <c:numCache>
                <c:formatCode>0.0</c:formatCode>
                <c:ptCount val="4"/>
                <c:pt idx="0">
                  <c:v>100</c:v>
                </c:pt>
                <c:pt idx="1">
                  <c:v>161.11111111111111</c:v>
                </c:pt>
                <c:pt idx="2">
                  <c:v>138.88888888888889</c:v>
                </c:pt>
                <c:pt idx="3">
                  <c:v>109.52380952380953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73-4E3B-80E9-98C11AA50F99}"/>
            </c:ext>
          </c:extLst>
        </c:ser>
        <c:ser>
          <c:idx val="5"/>
          <c:order val="5"/>
          <c:tx>
            <c:strRef>
              <c:f>'Txs atividade, ocup etc'!$K$23</c:f>
              <c:strCache>
                <c:ptCount val="1"/>
                <c:pt idx="0">
                  <c:v>Costa Rica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E73-4E3B-80E9-98C11AA50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etc'!$L$16:$O$17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Unemployment</c:v>
                  </c:pt>
                </c:lvl>
              </c:multiLvlStrCache>
            </c:multiLvlStrRef>
          </c:cat>
          <c:val>
            <c:numRef>
              <c:f>'Txs atividade, ocup etc'!$L$23:$O$23</c:f>
              <c:numCache>
                <c:formatCode>0.0</c:formatCode>
                <c:ptCount val="4"/>
                <c:pt idx="0">
                  <c:v>100</c:v>
                </c:pt>
                <c:pt idx="1">
                  <c:v>192</c:v>
                </c:pt>
                <c:pt idx="2">
                  <c:v>176</c:v>
                </c:pt>
                <c:pt idx="3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73-4E3B-80E9-98C11AA50F99}"/>
            </c:ext>
          </c:extLst>
        </c:ser>
        <c:ser>
          <c:idx val="6"/>
          <c:order val="6"/>
          <c:tx>
            <c:strRef>
              <c:f>'Txs atividade, ocup etc'!$K$24</c:f>
              <c:strCache>
                <c:ptCount val="1"/>
                <c:pt idx="0">
                  <c:v>Mexico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0"/>
                  <c:y val="1.4788733214413508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E73-4E3B-80E9-98C11AA50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etc'!$L$16:$O$17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Unemployment</c:v>
                  </c:pt>
                </c:lvl>
              </c:multiLvlStrCache>
            </c:multiLvlStrRef>
          </c:cat>
          <c:val>
            <c:numRef>
              <c:f>'Txs atividade, ocup etc'!$L$24:$O$24</c:f>
              <c:numCache>
                <c:formatCode>0.0</c:formatCode>
                <c:ptCount val="4"/>
                <c:pt idx="0">
                  <c:v>100</c:v>
                </c:pt>
                <c:pt idx="1">
                  <c:v>141.1764705882353</c:v>
                </c:pt>
                <c:pt idx="2">
                  <c:v>150</c:v>
                </c:pt>
                <c:pt idx="3">
                  <c:v>135.29411764705881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73-4E3B-80E9-98C11AA50F99}"/>
            </c:ext>
          </c:extLst>
        </c:ser>
        <c:ser>
          <c:idx val="7"/>
          <c:order val="7"/>
          <c:tx>
            <c:strRef>
              <c:f>'Txs atividade, ocup etc'!$K$25</c:f>
              <c:strCache>
                <c:ptCount val="1"/>
                <c:pt idx="0">
                  <c:v>Nicaragua 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E73-4E3B-80E9-98C11AA50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etc'!$L$16:$O$17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Unemployment</c:v>
                  </c:pt>
                </c:lvl>
              </c:multiLvlStrCache>
            </c:multiLvlStrRef>
          </c:cat>
          <c:val>
            <c:numRef>
              <c:f>'Txs atividade, ocup etc'!$L$25:$O$25</c:f>
              <c:numCache>
                <c:formatCode>0.0</c:formatCode>
                <c:ptCount val="4"/>
                <c:pt idx="0">
                  <c:v>100</c:v>
                </c:pt>
                <c:pt idx="1">
                  <c:v>112.50000000000003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73-4E3B-80E9-98C11AA50F99}"/>
            </c:ext>
          </c:extLst>
        </c:ser>
        <c:ser>
          <c:idx val="8"/>
          <c:order val="8"/>
          <c:tx>
            <c:strRef>
              <c:f>'Txs atividade, ocup etc'!$K$26</c:f>
              <c:strCache>
                <c:ptCount val="1"/>
                <c:pt idx="0">
                  <c:v>Paraguay 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E73-4E3B-80E9-98C11AA50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etc'!$L$16:$O$17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Unemployment</c:v>
                  </c:pt>
                </c:lvl>
              </c:multiLvlStrCache>
            </c:multiLvlStrRef>
          </c:cat>
          <c:val>
            <c:numRef>
              <c:f>'Txs atividade, ocup etc'!$L$26:$O$26</c:f>
              <c:numCache>
                <c:formatCode>0.0</c:formatCode>
                <c:ptCount val="4"/>
                <c:pt idx="0">
                  <c:v>100</c:v>
                </c:pt>
                <c:pt idx="1">
                  <c:v>96.202531645569607</c:v>
                </c:pt>
                <c:pt idx="2">
                  <c:v>103.79746835443035</c:v>
                </c:pt>
                <c:pt idx="3">
                  <c:v>91.139240506329116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73-4E3B-80E9-98C11AA50F99}"/>
            </c:ext>
          </c:extLst>
        </c:ser>
        <c:ser>
          <c:idx val="9"/>
          <c:order val="9"/>
          <c:tx>
            <c:strRef>
              <c:f>'Txs atividade, ocup etc'!$K$27</c:f>
              <c:strCache>
                <c:ptCount val="1"/>
                <c:pt idx="0">
                  <c:v>Peru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0"/>
                  <c:y val="-8.450704693950575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E73-4E3B-80E9-98C11AA50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etc'!$L$16:$O$17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Unemployment</c:v>
                  </c:pt>
                </c:lvl>
              </c:multiLvlStrCache>
            </c:multiLvlStrRef>
          </c:cat>
          <c:val>
            <c:numRef>
              <c:f>'Txs atividade, ocup etc'!$L$27:$O$27</c:f>
              <c:numCache>
                <c:formatCode>0.0</c:formatCode>
                <c:ptCount val="4"/>
                <c:pt idx="0">
                  <c:v>100</c:v>
                </c:pt>
                <c:pt idx="1">
                  <c:v>172.54901960784318</c:v>
                </c:pt>
                <c:pt idx="2">
                  <c:v>188.23529411764704</c:v>
                </c:pt>
                <c:pt idx="3">
                  <c:v>137.25490196078431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E73-4E3B-80E9-98C11AA50F99}"/>
            </c:ext>
          </c:extLst>
        </c:ser>
        <c:ser>
          <c:idx val="10"/>
          <c:order val="10"/>
          <c:tx>
            <c:strRef>
              <c:f>'Txs atividade, ocup etc'!$K$28</c:f>
              <c:strCache>
                <c:ptCount val="1"/>
                <c:pt idx="0">
                  <c:v>Uruguay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1.3169447338437206E-3"/>
                  <c:y val="-1.0563380867438221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E73-4E3B-80E9-98C11AA50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'Txs atividade, ocup etc'!$L$16:$O$17</c:f>
              <c:multiLvlStrCache>
                <c:ptCount val="4"/>
                <c:lvl>
                  <c:pt idx="0">
                    <c:v>I T</c:v>
                  </c:pt>
                  <c:pt idx="1">
                    <c:v>II T</c:v>
                  </c:pt>
                  <c:pt idx="2">
                    <c:v>III T</c:v>
                  </c:pt>
                  <c:pt idx="3">
                    <c:v>IV T</c:v>
                  </c:pt>
                </c:lvl>
                <c:lvl>
                  <c:pt idx="0">
                    <c:v>Unemployment</c:v>
                  </c:pt>
                </c:lvl>
              </c:multiLvlStrCache>
            </c:multiLvlStrRef>
          </c:cat>
          <c:val>
            <c:numRef>
              <c:f>'Txs atividade, ocup etc'!$L$28:$O$28</c:f>
              <c:numCache>
                <c:formatCode>0.0</c:formatCode>
                <c:ptCount val="4"/>
                <c:pt idx="0">
                  <c:v>100</c:v>
                </c:pt>
                <c:pt idx="1">
                  <c:v>103.09278350515466</c:v>
                </c:pt>
                <c:pt idx="2">
                  <c:v>111.34020618556704</c:v>
                </c:pt>
                <c:pt idx="3">
                  <c:v>112.37113402061858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E73-4E3B-80E9-98C11AA50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448248"/>
        <c:axId val="442448568"/>
      </c:lineChart>
      <c:catAx>
        <c:axId val="442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448568"/>
        <c:crosses val="autoZero"/>
        <c:auto val="1"/>
        <c:lblAlgn val="ctr"/>
        <c:lblOffset val="100"/>
        <c:noMultiLvlLbl val="0"/>
      </c:catAx>
      <c:valAx>
        <c:axId val="4424485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44824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691A8AF-94DE-4F14-B69B-3A0AB97F5760}">
  <sheetPr codeName="Gráfico12"/>
  <sheetViews>
    <sheetView zoomScale="7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751B0C-3FD9-424A-8959-E378F381373A}">
  <sheetPr codeName="Gráfico13"/>
  <sheetViews>
    <sheetView zoomScale="7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8F4BF7-FF5B-434E-83A8-4092E3F39C44}">
  <sheetPr codeName="Gráfico14"/>
  <sheetViews>
    <sheetView zoomScale="7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BAD96DD-9579-4AF6-9B29-D4B3F30527FD}">
  <sheetPr codeName="Gráfico15"/>
  <sheetViews>
    <sheetView zoomScale="9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6944019-0ADD-40DD-B34F-5D9B9B3A38C9}">
  <sheetPr codeName="Gráfico16"/>
  <sheetViews>
    <sheetView zoomScale="9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25A32BA-7988-4ABB-9EED-0EBCAA1D461D}">
  <sheetPr/>
  <sheetViews>
    <sheetView zoomScale="7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AE50065-3CC0-4729-A04C-781DB42460C2}">
  <sheetPr/>
  <sheetViews>
    <sheetView zoomScale="7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0910CD-697C-4807-AAE9-FC58AEC6CBDE}">
  <sheetPr/>
  <sheetViews>
    <sheetView zoomScale="9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11243BB-7DD3-46F2-8A43-90BFAEBD4465}">
  <sheetPr codeName="Gráfico8"/>
  <sheetViews>
    <sheetView zoomScale="7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F056B34-3952-414E-89E0-CF7E01DC8BFE}">
  <sheetPr codeName="Gráfico9"/>
  <sheetViews>
    <sheetView zoomScale="7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14CF075-0F91-43E4-B025-124F49D5240A}">
  <sheetPr codeName="Gráfico10"/>
  <sheetViews>
    <sheetView zoomScale="7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6</xdr:row>
      <xdr:rowOff>76200</xdr:rowOff>
    </xdr:from>
    <xdr:to>
      <xdr:col>15</xdr:col>
      <xdr:colOff>228599</xdr:colOff>
      <xdr:row>22</xdr:row>
      <xdr:rowOff>109537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665A8A3-BC3D-4EB3-9B45-5BA2BF1422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DE9C2A-D24E-4765-9A1B-9F72DCEBA3F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D96CAFD-22BF-4E36-98C6-6175ECA5FB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CAD3A1-10E6-4ED7-9C60-C50C308F1E7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3533" cy="60113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CB2DFB3-A5A0-4F16-BD3C-69D24D86CD0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43533" cy="60113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B64FDA-22BA-4292-9D89-81E24FD5F6D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13252" y="3296148"/>
    <xdr:ext cx="4220818" cy="2740218"/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CC9F8DC-5274-4F74-90C2-EA632E872F6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" y="365761"/>
    <xdr:ext cx="4183379" cy="2567939"/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F8296B66-41D2-4717-93B8-CEA8366174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4267201" y="365761"/>
    <xdr:ext cx="4253948" cy="2562970"/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F685BD93-AC5A-4FDE-AE4A-A76CE187C2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249616" y="3294185"/>
    <xdr:ext cx="4270930" cy="2746398"/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A14CAD86-FCC9-4423-B5A1-8E960B397C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0" y="6641124"/>
    <xdr:ext cx="4223657" cy="2916534"/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4626549-1772-47BE-BCEB-0E51367955F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4267200" y="6629404"/>
    <xdr:ext cx="4273062" cy="2936628"/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31E80EF-27AB-4858-9132-0586A39817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296099C-73BA-4985-905F-5B1FC2F5C7C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D42ADEF-B291-4BC5-B81C-4E0F16BBA82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643533" cy="60113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F711F66-E3B5-4E9C-8A79-77C29B634C0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200025</xdr:colOff>
      <xdr:row>1</xdr:row>
      <xdr:rowOff>142875</xdr:rowOff>
    </xdr:from>
    <xdr:to>
      <xdr:col>15</xdr:col>
      <xdr:colOff>95250</xdr:colOff>
      <xdr:row>26</xdr:row>
      <xdr:rowOff>180975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AB8FCCB-25AB-4CE1-9357-96A32157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86175" y="333375"/>
          <a:ext cx="5991225" cy="4800600"/>
        </a:xfrm>
        <a:prstGeom prst="rect">
          <a:avLst/>
        </a:prstGeom>
      </xdr:spPr>
    </xdr:pic>
    <xdr:clientData/>
  </xdr:twoCellAnchor>
  <xdr:twoCellAnchor>
    <xdr:from>
      <xdr:col>6</xdr:col>
      <xdr:colOff>38100</xdr:colOff>
      <xdr:row>53</xdr:row>
      <xdr:rowOff>53340</xdr:rowOff>
    </xdr:from>
    <xdr:to>
      <xdr:col>13</xdr:col>
      <xdr:colOff>342900</xdr:colOff>
      <xdr:row>68</xdr:row>
      <xdr:rowOff>53340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7C5E46B-130C-4D47-B405-FF44CDA23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99060</xdr:colOff>
      <xdr:row>142</xdr:row>
      <xdr:rowOff>53340</xdr:rowOff>
    </xdr:from>
    <xdr:to>
      <xdr:col>16</xdr:col>
      <xdr:colOff>403860</xdr:colOff>
      <xdr:row>157</xdr:row>
      <xdr:rowOff>53340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5E0C5DD6-DCC5-4136-A417-0E37222AE8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18</xdr:col>
      <xdr:colOff>10053</xdr:colOff>
      <xdr:row>31</xdr:row>
      <xdr:rowOff>112377</xdr:rowOff>
    </xdr:to>
    <xdr:graphicFrame macro="">
      <xdr:nvGraphicFramePr>
        <xdr:cNvPr id="21" name="Chart_1">
          <a:extLst>
            <a:ext uri="{FF2B5EF4-FFF2-40B4-BE49-F238E27FC236}">
              <a16:creationId xmlns:a16="http://schemas.microsoft.com/office/drawing/2014/main" id="{0503DDDB-E758-4629-8627-9BB4C0D03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16</xdr:col>
      <xdr:colOff>606409</xdr:colOff>
      <xdr:row>28</xdr:row>
      <xdr:rowOff>55024</xdr:rowOff>
    </xdr:to>
    <xdr:graphicFrame macro="">
      <xdr:nvGraphicFramePr>
        <xdr:cNvPr id="2" name="Chart_1">
          <a:extLst>
            <a:ext uri="{FF2B5EF4-FFF2-40B4-BE49-F238E27FC236}">
              <a16:creationId xmlns:a16="http://schemas.microsoft.com/office/drawing/2014/main" id="{322576D5-AA97-457F-AC99-E03BA66D22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C4F5A5-B1F2-48D0-88DF-0CDD667E694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F0F3EC-4B98-4ED0-BB5F-AC16273492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B749F80-23D8-4349-9842-7994E85DB9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lobal-Health-Security-Index-2019-Final-October-2019/Global%20Health%20Security%20Index%202019%20Final%20(October%202019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Landing_page"/>
      <sheetName val="Contents"/>
      <sheetName val="Map"/>
      <sheetName val="Summary"/>
      <sheetName val="Indicator_Ranking"/>
      <sheetName val="Details"/>
      <sheetName val="CountryScoreCard"/>
      <sheetName val="RegionCompare"/>
      <sheetName val="CountryCompare"/>
      <sheetName val="Scatter"/>
      <sheetName val="Correlations"/>
      <sheetName val="Scores"/>
      <sheetName val="Weights"/>
      <sheetName val="Methodology"/>
      <sheetName val="CountryGroups"/>
      <sheetName val="HelpPage"/>
      <sheetName val="IMPORT"/>
      <sheetName val="tblIndiSets"/>
      <sheetName val="uxb_works"/>
      <sheetName val="tblIndicators"/>
      <sheetName val="tblTerritories"/>
      <sheetName val="iRegionComp"/>
      <sheetName val="iMap_Rank"/>
      <sheetName val="uxb_regions"/>
      <sheetName val="iIndiRank"/>
      <sheetName val="iDetailsText"/>
      <sheetName val="iDetails"/>
      <sheetName val="iCSCtbl"/>
      <sheetName val="iCntyScoreCard"/>
      <sheetName val="iSummary"/>
      <sheetName val="iCountryP"/>
      <sheetName val="iWeights1"/>
      <sheetName val="iScatterZoom"/>
      <sheetName val="iScatter"/>
      <sheetName val="iCountryComp_Scatter"/>
      <sheetName val="iCountryComp"/>
      <sheetName val="uxb_mapdata"/>
      <sheetName val="tblNavHist"/>
      <sheetName val="SheetNames"/>
      <sheetName val="tblCategories"/>
      <sheetName val="iData"/>
      <sheetName val="iScores"/>
      <sheetName val="iCorre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9">
          <cell r="B9" t="str">
            <v xml:space="preserve">OVERALL SCORE </v>
          </cell>
        </row>
        <row r="10">
          <cell r="B10" t="str">
            <v xml:space="preserve">1) PREVENTION OF THE EMERGENCE OR RELEASE OF PATHOGENS </v>
          </cell>
        </row>
        <row r="19">
          <cell r="B19" t="str">
            <v>Afghanistan</v>
          </cell>
          <cell r="O19" t="str">
            <v>South Korea</v>
          </cell>
          <cell r="P19">
            <v>70.2</v>
          </cell>
          <cell r="Q19">
            <v>57.3</v>
          </cell>
          <cell r="T19" t="e">
            <v>#N/A</v>
          </cell>
          <cell r="U19" t="e">
            <v>#N/A</v>
          </cell>
          <cell r="W19">
            <v>32.299999999999997</v>
          </cell>
          <cell r="X19">
            <v>23.5</v>
          </cell>
          <cell r="Z19" t="e">
            <v>#N/A</v>
          </cell>
          <cell r="AA19" t="e">
            <v>#N/A</v>
          </cell>
        </row>
        <row r="20">
          <cell r="B20" t="str">
            <v>Albania</v>
          </cell>
          <cell r="T20" t="e">
            <v>#N/A</v>
          </cell>
          <cell r="U20" t="e">
            <v>#N/A</v>
          </cell>
          <cell r="W20">
            <v>52.9</v>
          </cell>
          <cell r="X20">
            <v>43.8</v>
          </cell>
          <cell r="Z20" t="e">
            <v>#N/A</v>
          </cell>
          <cell r="AA20" t="e">
            <v>#N/A</v>
          </cell>
        </row>
        <row r="21">
          <cell r="B21" t="str">
            <v>Algeria</v>
          </cell>
          <cell r="T21" t="e">
            <v>#N/A</v>
          </cell>
          <cell r="U21" t="e">
            <v>#N/A</v>
          </cell>
          <cell r="W21">
            <v>23.6</v>
          </cell>
          <cell r="X21">
            <v>25.7</v>
          </cell>
          <cell r="Z21" t="e">
            <v>#N/A</v>
          </cell>
          <cell r="AA21" t="e">
            <v>#N/A</v>
          </cell>
        </row>
        <row r="22">
          <cell r="B22" t="str">
            <v>Andorra</v>
          </cell>
          <cell r="T22" t="e">
            <v>#N/A</v>
          </cell>
          <cell r="U22" t="e">
            <v>#N/A</v>
          </cell>
          <cell r="W22">
            <v>30.5</v>
          </cell>
          <cell r="X22">
            <v>27.9</v>
          </cell>
          <cell r="Z22" t="e">
            <v>#N/A</v>
          </cell>
          <cell r="AA22" t="e">
            <v>#N/A</v>
          </cell>
        </row>
        <row r="23">
          <cell r="B23" t="str">
            <v>Angola</v>
          </cell>
          <cell r="O23" t="e">
            <v>#N/A</v>
          </cell>
          <cell r="P23" t="e">
            <v>#N/A</v>
          </cell>
          <cell r="Q23" t="e">
            <v>#N/A</v>
          </cell>
          <cell r="T23" t="e">
            <v>#N/A</v>
          </cell>
          <cell r="U23" t="e">
            <v>#N/A</v>
          </cell>
          <cell r="W23">
            <v>25.2</v>
          </cell>
          <cell r="X23">
            <v>24</v>
          </cell>
          <cell r="Z23" t="e">
            <v>#N/A</v>
          </cell>
          <cell r="AA23" t="e">
            <v>#N/A</v>
          </cell>
        </row>
        <row r="24">
          <cell r="B24" t="str">
            <v>Antigua and Barbuda</v>
          </cell>
          <cell r="T24" t="e">
            <v>#N/A</v>
          </cell>
          <cell r="U24" t="e">
            <v>#N/A</v>
          </cell>
          <cell r="W24">
            <v>29</v>
          </cell>
          <cell r="X24">
            <v>17.8</v>
          </cell>
          <cell r="Z24">
            <v>29</v>
          </cell>
          <cell r="AA24">
            <v>17.8</v>
          </cell>
        </row>
        <row r="25">
          <cell r="B25" t="str">
            <v>Argentina</v>
          </cell>
          <cell r="T25" t="e">
            <v>#N/A</v>
          </cell>
          <cell r="U25" t="e">
            <v>#N/A</v>
          </cell>
          <cell r="W25">
            <v>58.6</v>
          </cell>
          <cell r="X25">
            <v>41.4</v>
          </cell>
          <cell r="Z25">
            <v>58.6</v>
          </cell>
          <cell r="AA25">
            <v>41.4</v>
          </cell>
        </row>
        <row r="26">
          <cell r="B26" t="str">
            <v>Armenia</v>
          </cell>
          <cell r="T26" t="e">
            <v>#N/A</v>
          </cell>
          <cell r="U26" t="e">
            <v>#N/A</v>
          </cell>
          <cell r="W26">
            <v>50.2</v>
          </cell>
          <cell r="X26">
            <v>56.7</v>
          </cell>
          <cell r="Z26" t="e">
            <v>#N/A</v>
          </cell>
          <cell r="AA26" t="e">
            <v>#N/A</v>
          </cell>
        </row>
        <row r="27">
          <cell r="B27" t="str">
            <v>Australia</v>
          </cell>
          <cell r="O27" t="e">
            <v>#N/A</v>
          </cell>
          <cell r="P27" t="e">
            <v>#N/A</v>
          </cell>
          <cell r="Q27" t="e">
            <v>#N/A</v>
          </cell>
          <cell r="T27" t="e">
            <v>#N/A</v>
          </cell>
          <cell r="U27" t="e">
            <v>#N/A</v>
          </cell>
          <cell r="W27">
            <v>75.5</v>
          </cell>
          <cell r="X27">
            <v>68.900000000000006</v>
          </cell>
          <cell r="Z27" t="e">
            <v>#N/A</v>
          </cell>
          <cell r="AA27" t="e">
            <v>#N/A</v>
          </cell>
        </row>
        <row r="28">
          <cell r="B28" t="str">
            <v>Austria</v>
          </cell>
          <cell r="T28" t="e">
            <v>#N/A</v>
          </cell>
          <cell r="U28" t="e">
            <v>#N/A</v>
          </cell>
          <cell r="W28">
            <v>58.5</v>
          </cell>
          <cell r="X28">
            <v>57.4</v>
          </cell>
          <cell r="Z28" t="e">
            <v>#N/A</v>
          </cell>
          <cell r="AA28" t="e">
            <v>#N/A</v>
          </cell>
        </row>
        <row r="29">
          <cell r="B29" t="str">
            <v>Azerbaijan</v>
          </cell>
          <cell r="T29" t="e">
            <v>#N/A</v>
          </cell>
          <cell r="U29" t="e">
            <v>#N/A</v>
          </cell>
          <cell r="W29">
            <v>34.200000000000003</v>
          </cell>
          <cell r="X29">
            <v>30.8</v>
          </cell>
          <cell r="Z29" t="e">
            <v>#N/A</v>
          </cell>
          <cell r="AA29" t="e">
            <v>#N/A</v>
          </cell>
        </row>
        <row r="30">
          <cell r="B30" t="str">
            <v>Bahamas</v>
          </cell>
          <cell r="T30" t="e">
            <v>#N/A</v>
          </cell>
          <cell r="U30" t="e">
            <v>#N/A</v>
          </cell>
          <cell r="W30">
            <v>30.6</v>
          </cell>
          <cell r="X30">
            <v>24.7</v>
          </cell>
          <cell r="Z30">
            <v>30.6</v>
          </cell>
          <cell r="AA30">
            <v>24.7</v>
          </cell>
        </row>
        <row r="31">
          <cell r="B31" t="str">
            <v>Bahrain</v>
          </cell>
          <cell r="T31" t="e">
            <v>#N/A</v>
          </cell>
          <cell r="U31" t="e">
            <v>#N/A</v>
          </cell>
          <cell r="W31">
            <v>39.4</v>
          </cell>
          <cell r="X31">
            <v>36</v>
          </cell>
          <cell r="Z31" t="e">
            <v>#N/A</v>
          </cell>
          <cell r="AA31" t="e">
            <v>#N/A</v>
          </cell>
        </row>
        <row r="32">
          <cell r="B32" t="str">
            <v>Bangladesh</v>
          </cell>
          <cell r="T32" t="e">
            <v>#N/A</v>
          </cell>
          <cell r="U32" t="e">
            <v>#N/A</v>
          </cell>
          <cell r="W32">
            <v>35</v>
          </cell>
          <cell r="X32">
            <v>27.3</v>
          </cell>
          <cell r="Z32" t="e">
            <v>#N/A</v>
          </cell>
          <cell r="AA32" t="e">
            <v>#N/A</v>
          </cell>
        </row>
        <row r="33">
          <cell r="B33" t="str">
            <v>Barbados</v>
          </cell>
          <cell r="T33" t="e">
            <v>#N/A</v>
          </cell>
          <cell r="U33" t="e">
            <v>#N/A</v>
          </cell>
          <cell r="W33">
            <v>31.9</v>
          </cell>
          <cell r="X33">
            <v>33.299999999999997</v>
          </cell>
          <cell r="Z33">
            <v>31.9</v>
          </cell>
          <cell r="AA33">
            <v>33.299999999999997</v>
          </cell>
        </row>
        <row r="34">
          <cell r="B34" t="str">
            <v>Belarus</v>
          </cell>
          <cell r="T34" t="e">
            <v>#N/A</v>
          </cell>
          <cell r="U34" t="e">
            <v>#N/A</v>
          </cell>
          <cell r="W34">
            <v>35.299999999999997</v>
          </cell>
          <cell r="X34">
            <v>19.399999999999999</v>
          </cell>
          <cell r="Z34" t="e">
            <v>#N/A</v>
          </cell>
          <cell r="AA34" t="e">
            <v>#N/A</v>
          </cell>
        </row>
        <row r="35">
          <cell r="B35" t="str">
            <v>Belgium</v>
          </cell>
          <cell r="T35" t="e">
            <v>#N/A</v>
          </cell>
          <cell r="U35" t="e">
            <v>#N/A</v>
          </cell>
          <cell r="W35">
            <v>61</v>
          </cell>
          <cell r="X35">
            <v>63.5</v>
          </cell>
          <cell r="Z35" t="e">
            <v>#N/A</v>
          </cell>
          <cell r="AA35" t="e">
            <v>#N/A</v>
          </cell>
        </row>
        <row r="36">
          <cell r="B36" t="str">
            <v>Belize</v>
          </cell>
          <cell r="T36" t="e">
            <v>#N/A</v>
          </cell>
          <cell r="U36" t="e">
            <v>#N/A</v>
          </cell>
          <cell r="W36">
            <v>31.8</v>
          </cell>
          <cell r="X36">
            <v>30</v>
          </cell>
          <cell r="Z36">
            <v>31.8</v>
          </cell>
          <cell r="AA36">
            <v>30</v>
          </cell>
        </row>
        <row r="37">
          <cell r="B37" t="str">
            <v>Benin</v>
          </cell>
          <cell r="T37" t="e">
            <v>#N/A</v>
          </cell>
          <cell r="U37" t="e">
            <v>#N/A</v>
          </cell>
          <cell r="W37">
            <v>28.8</v>
          </cell>
          <cell r="X37">
            <v>16.5</v>
          </cell>
          <cell r="Z37" t="e">
            <v>#N/A</v>
          </cell>
          <cell r="AA37" t="e">
            <v>#N/A</v>
          </cell>
        </row>
        <row r="38">
          <cell r="B38" t="str">
            <v>Bhutan</v>
          </cell>
          <cell r="T38" t="e">
            <v>#N/A</v>
          </cell>
          <cell r="U38" t="e">
            <v>#N/A</v>
          </cell>
          <cell r="W38">
            <v>40.299999999999997</v>
          </cell>
          <cell r="X38">
            <v>35.5</v>
          </cell>
          <cell r="Z38" t="e">
            <v>#N/A</v>
          </cell>
          <cell r="AA38" t="e">
            <v>#N/A</v>
          </cell>
        </row>
        <row r="39">
          <cell r="B39" t="str">
            <v>Bolivia</v>
          </cell>
          <cell r="T39" t="e">
            <v>#N/A</v>
          </cell>
          <cell r="U39" t="e">
            <v>#N/A</v>
          </cell>
          <cell r="W39">
            <v>35.799999999999997</v>
          </cell>
          <cell r="X39">
            <v>44</v>
          </cell>
          <cell r="Z39">
            <v>35.799999999999997</v>
          </cell>
          <cell r="AA39">
            <v>44</v>
          </cell>
        </row>
        <row r="40">
          <cell r="B40" t="str">
            <v>Bosnia and Herzegovina</v>
          </cell>
          <cell r="T40" t="e">
            <v>#N/A</v>
          </cell>
          <cell r="U40" t="e">
            <v>#N/A</v>
          </cell>
          <cell r="W40">
            <v>42.8</v>
          </cell>
          <cell r="X40">
            <v>36.700000000000003</v>
          </cell>
          <cell r="Z40" t="e">
            <v>#N/A</v>
          </cell>
          <cell r="AA40" t="e">
            <v>#N/A</v>
          </cell>
        </row>
        <row r="41">
          <cell r="B41" t="str">
            <v>Botswana</v>
          </cell>
          <cell r="T41" t="e">
            <v>#N/A</v>
          </cell>
          <cell r="U41" t="e">
            <v>#N/A</v>
          </cell>
          <cell r="W41">
            <v>31.1</v>
          </cell>
          <cell r="X41">
            <v>22</v>
          </cell>
          <cell r="Z41" t="e">
            <v>#N/A</v>
          </cell>
          <cell r="AA41" t="e">
            <v>#N/A</v>
          </cell>
        </row>
        <row r="42">
          <cell r="B42" t="str">
            <v>Brazil</v>
          </cell>
          <cell r="T42" t="e">
            <v>#N/A</v>
          </cell>
          <cell r="U42" t="e">
            <v>#N/A</v>
          </cell>
          <cell r="W42">
            <v>59.7</v>
          </cell>
          <cell r="X42">
            <v>59.2</v>
          </cell>
          <cell r="Z42">
            <v>59.7</v>
          </cell>
          <cell r="AA42">
            <v>59.2</v>
          </cell>
        </row>
        <row r="43">
          <cell r="B43" t="str">
            <v>Brunei</v>
          </cell>
          <cell r="T43" t="e">
            <v>#N/A</v>
          </cell>
          <cell r="U43" t="e">
            <v>#N/A</v>
          </cell>
          <cell r="W43">
            <v>32.6</v>
          </cell>
          <cell r="X43">
            <v>24.8</v>
          </cell>
          <cell r="Z43" t="e">
            <v>#N/A</v>
          </cell>
          <cell r="AA43" t="e">
            <v>#N/A</v>
          </cell>
        </row>
        <row r="44">
          <cell r="B44" t="str">
            <v>Bulgaria</v>
          </cell>
          <cell r="T44" t="e">
            <v>#N/A</v>
          </cell>
          <cell r="U44" t="e">
            <v>#N/A</v>
          </cell>
          <cell r="W44">
            <v>45.6</v>
          </cell>
          <cell r="X44">
            <v>37.6</v>
          </cell>
          <cell r="Z44" t="e">
            <v>#N/A</v>
          </cell>
          <cell r="AA44" t="e">
            <v>#N/A</v>
          </cell>
        </row>
        <row r="45">
          <cell r="B45" t="str">
            <v>Burkina Faso</v>
          </cell>
          <cell r="T45" t="e">
            <v>#N/A</v>
          </cell>
          <cell r="U45" t="e">
            <v>#N/A</v>
          </cell>
          <cell r="W45">
            <v>30.1</v>
          </cell>
          <cell r="X45">
            <v>18</v>
          </cell>
          <cell r="Z45" t="e">
            <v>#N/A</v>
          </cell>
          <cell r="AA45" t="e">
            <v>#N/A</v>
          </cell>
        </row>
        <row r="46">
          <cell r="B46" t="str">
            <v>Burundi</v>
          </cell>
          <cell r="T46" t="e">
            <v>#N/A</v>
          </cell>
          <cell r="U46" t="e">
            <v>#N/A</v>
          </cell>
          <cell r="W46">
            <v>22.8</v>
          </cell>
          <cell r="X46">
            <v>25.1</v>
          </cell>
          <cell r="Z46" t="e">
            <v>#N/A</v>
          </cell>
          <cell r="AA46" t="e">
            <v>#N/A</v>
          </cell>
        </row>
        <row r="47">
          <cell r="B47" t="str">
            <v>Cabo Verde</v>
          </cell>
          <cell r="T47" t="e">
            <v>#N/A</v>
          </cell>
          <cell r="U47" t="e">
            <v>#N/A</v>
          </cell>
          <cell r="W47">
            <v>29.3</v>
          </cell>
          <cell r="X47">
            <v>27.9</v>
          </cell>
          <cell r="Z47" t="e">
            <v>#N/A</v>
          </cell>
          <cell r="AA47" t="e">
            <v>#N/A</v>
          </cell>
        </row>
        <row r="48">
          <cell r="B48" t="str">
            <v>Cambodia</v>
          </cell>
          <cell r="T48" t="e">
            <v>#N/A</v>
          </cell>
          <cell r="U48" t="e">
            <v>#N/A</v>
          </cell>
          <cell r="W48">
            <v>39.200000000000003</v>
          </cell>
          <cell r="X48">
            <v>28.6</v>
          </cell>
          <cell r="Z48" t="e">
            <v>#N/A</v>
          </cell>
          <cell r="AA48" t="e">
            <v>#N/A</v>
          </cell>
        </row>
        <row r="49">
          <cell r="B49" t="str">
            <v>Cameroon</v>
          </cell>
          <cell r="T49" t="e">
            <v>#N/A</v>
          </cell>
          <cell r="U49" t="e">
            <v>#N/A</v>
          </cell>
          <cell r="W49">
            <v>34.4</v>
          </cell>
          <cell r="X49">
            <v>28.2</v>
          </cell>
          <cell r="Z49" t="e">
            <v>#N/A</v>
          </cell>
          <cell r="AA49" t="e">
            <v>#N/A</v>
          </cell>
        </row>
        <row r="50">
          <cell r="B50" t="str">
            <v>Canada</v>
          </cell>
          <cell r="T50" t="e">
            <v>#N/A</v>
          </cell>
          <cell r="U50" t="e">
            <v>#N/A</v>
          </cell>
          <cell r="W50">
            <v>75.3</v>
          </cell>
          <cell r="X50">
            <v>70</v>
          </cell>
          <cell r="Z50" t="e">
            <v>#N/A</v>
          </cell>
          <cell r="AA50" t="e">
            <v>#N/A</v>
          </cell>
        </row>
        <row r="51">
          <cell r="B51" t="str">
            <v>Central African Republic</v>
          </cell>
          <cell r="T51" t="e">
            <v>#N/A</v>
          </cell>
          <cell r="U51" t="e">
            <v>#N/A</v>
          </cell>
          <cell r="W51">
            <v>27.3</v>
          </cell>
          <cell r="X51">
            <v>18</v>
          </cell>
          <cell r="Z51" t="e">
            <v>#N/A</v>
          </cell>
          <cell r="AA51" t="e">
            <v>#N/A</v>
          </cell>
        </row>
        <row r="52">
          <cell r="B52" t="str">
            <v>Chad</v>
          </cell>
          <cell r="T52" t="e">
            <v>#N/A</v>
          </cell>
          <cell r="U52" t="e">
            <v>#N/A</v>
          </cell>
          <cell r="W52">
            <v>28.8</v>
          </cell>
          <cell r="X52">
            <v>23.2</v>
          </cell>
          <cell r="Z52" t="e">
            <v>#N/A</v>
          </cell>
          <cell r="AA52" t="e">
            <v>#N/A</v>
          </cell>
        </row>
        <row r="53">
          <cell r="B53" t="str">
            <v>Chile</v>
          </cell>
          <cell r="T53" t="e">
            <v>#N/A</v>
          </cell>
          <cell r="U53" t="e">
            <v>#N/A</v>
          </cell>
          <cell r="W53">
            <v>58.3</v>
          </cell>
          <cell r="X53">
            <v>56.2</v>
          </cell>
          <cell r="Z53">
            <v>58.3</v>
          </cell>
          <cell r="AA53">
            <v>56.2</v>
          </cell>
        </row>
        <row r="54">
          <cell r="B54" t="str">
            <v>China</v>
          </cell>
          <cell r="T54" t="e">
            <v>#N/A</v>
          </cell>
          <cell r="U54" t="e">
            <v>#N/A</v>
          </cell>
          <cell r="W54">
            <v>48.2</v>
          </cell>
          <cell r="X54">
            <v>45</v>
          </cell>
          <cell r="Z54" t="e">
            <v>#N/A</v>
          </cell>
          <cell r="AA54" t="e">
            <v>#N/A</v>
          </cell>
        </row>
        <row r="55">
          <cell r="B55" t="str">
            <v>Colombia</v>
          </cell>
          <cell r="T55" t="e">
            <v>#N/A</v>
          </cell>
          <cell r="U55" t="e">
            <v>#N/A</v>
          </cell>
          <cell r="W55">
            <v>44.2</v>
          </cell>
          <cell r="X55">
            <v>37.200000000000003</v>
          </cell>
          <cell r="Z55">
            <v>44.2</v>
          </cell>
          <cell r="AA55">
            <v>37.200000000000003</v>
          </cell>
        </row>
        <row r="56">
          <cell r="B56" t="str">
            <v>Comoros</v>
          </cell>
          <cell r="T56" t="e">
            <v>#N/A</v>
          </cell>
          <cell r="U56" t="e">
            <v>#N/A</v>
          </cell>
          <cell r="W56">
            <v>27.2</v>
          </cell>
          <cell r="X56">
            <v>19.2</v>
          </cell>
          <cell r="Z56" t="e">
            <v>#N/A</v>
          </cell>
          <cell r="AA56" t="e">
            <v>#N/A</v>
          </cell>
        </row>
        <row r="57">
          <cell r="B57" t="str">
            <v>Congo (Brazzaville)</v>
          </cell>
          <cell r="T57" t="e">
            <v>#N/A</v>
          </cell>
          <cell r="U57" t="e">
            <v>#N/A</v>
          </cell>
          <cell r="W57">
            <v>23.6</v>
          </cell>
          <cell r="X57">
            <v>17.600000000000001</v>
          </cell>
          <cell r="Z57" t="e">
            <v>#N/A</v>
          </cell>
          <cell r="AA57" t="e">
            <v>#N/A</v>
          </cell>
        </row>
        <row r="58">
          <cell r="B58" t="str">
            <v>Congo (Democratic Republic)</v>
          </cell>
          <cell r="T58" t="e">
            <v>#N/A</v>
          </cell>
          <cell r="U58" t="e">
            <v>#N/A</v>
          </cell>
          <cell r="W58">
            <v>26.5</v>
          </cell>
          <cell r="X58">
            <v>24</v>
          </cell>
          <cell r="Z58" t="e">
            <v>#N/A</v>
          </cell>
          <cell r="AA58" t="e">
            <v>#N/A</v>
          </cell>
        </row>
        <row r="59">
          <cell r="B59" t="str">
            <v>Cook Islands</v>
          </cell>
          <cell r="T59" t="e">
            <v>#N/A</v>
          </cell>
          <cell r="U59" t="e">
            <v>#N/A</v>
          </cell>
          <cell r="W59">
            <v>20.399999999999999</v>
          </cell>
          <cell r="X59">
            <v>10.9</v>
          </cell>
          <cell r="Z59" t="e">
            <v>#N/A</v>
          </cell>
          <cell r="AA59" t="e">
            <v>#N/A</v>
          </cell>
        </row>
        <row r="60">
          <cell r="B60" t="str">
            <v>Costa Rica</v>
          </cell>
          <cell r="T60" t="e">
            <v>#N/A</v>
          </cell>
          <cell r="U60" t="e">
            <v>#N/A</v>
          </cell>
          <cell r="W60">
            <v>45.1</v>
          </cell>
          <cell r="X60">
            <v>44.2</v>
          </cell>
          <cell r="Z60">
            <v>45.1</v>
          </cell>
          <cell r="AA60">
            <v>44.2</v>
          </cell>
        </row>
        <row r="61">
          <cell r="B61" t="str">
            <v>Côte d'Ivoire</v>
          </cell>
          <cell r="T61" t="e">
            <v>#N/A</v>
          </cell>
          <cell r="U61" t="e">
            <v>#N/A</v>
          </cell>
          <cell r="W61">
            <v>35.5</v>
          </cell>
          <cell r="X61">
            <v>27.3</v>
          </cell>
          <cell r="Z61" t="e">
            <v>#N/A</v>
          </cell>
          <cell r="AA61" t="e">
            <v>#N/A</v>
          </cell>
        </row>
        <row r="62">
          <cell r="B62" t="str">
            <v>Croatia</v>
          </cell>
          <cell r="T62" t="e">
            <v>#N/A</v>
          </cell>
          <cell r="U62" t="e">
            <v>#N/A</v>
          </cell>
          <cell r="W62">
            <v>53.3</v>
          </cell>
          <cell r="X62">
            <v>55.2</v>
          </cell>
          <cell r="Z62" t="e">
            <v>#N/A</v>
          </cell>
          <cell r="AA62" t="e">
            <v>#N/A</v>
          </cell>
        </row>
        <row r="63">
          <cell r="B63" t="str">
            <v>Cuba</v>
          </cell>
          <cell r="T63" t="e">
            <v>#N/A</v>
          </cell>
          <cell r="U63" t="e">
            <v>#N/A</v>
          </cell>
          <cell r="W63">
            <v>35.200000000000003</v>
          </cell>
          <cell r="X63">
            <v>41.4</v>
          </cell>
          <cell r="Z63">
            <v>35.200000000000003</v>
          </cell>
          <cell r="AA63">
            <v>41.4</v>
          </cell>
        </row>
        <row r="64">
          <cell r="B64" t="str">
            <v>Cyprus</v>
          </cell>
          <cell r="T64" t="e">
            <v>#N/A</v>
          </cell>
          <cell r="U64" t="e">
            <v>#N/A</v>
          </cell>
          <cell r="W64">
            <v>43</v>
          </cell>
          <cell r="X64">
            <v>46.4</v>
          </cell>
          <cell r="Z64" t="e">
            <v>#N/A</v>
          </cell>
          <cell r="AA64" t="e">
            <v>#N/A</v>
          </cell>
        </row>
        <row r="65">
          <cell r="B65" t="str">
            <v>Czech Republic</v>
          </cell>
          <cell r="T65" t="e">
            <v>#N/A</v>
          </cell>
          <cell r="U65" t="e">
            <v>#N/A</v>
          </cell>
          <cell r="W65">
            <v>52</v>
          </cell>
          <cell r="X65">
            <v>51.1</v>
          </cell>
          <cell r="Z65" t="e">
            <v>#N/A</v>
          </cell>
          <cell r="AA65" t="e">
            <v>#N/A</v>
          </cell>
        </row>
        <row r="66">
          <cell r="B66" t="str">
            <v>Denmark</v>
          </cell>
          <cell r="T66" t="e">
            <v>#N/A</v>
          </cell>
          <cell r="U66" t="e">
            <v>#N/A</v>
          </cell>
          <cell r="W66">
            <v>70.400000000000006</v>
          </cell>
          <cell r="X66">
            <v>72.900000000000006</v>
          </cell>
          <cell r="Z66" t="e">
            <v>#N/A</v>
          </cell>
          <cell r="AA66" t="e">
            <v>#N/A</v>
          </cell>
        </row>
        <row r="67">
          <cell r="B67" t="str">
            <v>Djibouti</v>
          </cell>
          <cell r="T67" t="e">
            <v>#N/A</v>
          </cell>
          <cell r="U67" t="e">
            <v>#N/A</v>
          </cell>
          <cell r="W67">
            <v>23.2</v>
          </cell>
          <cell r="X67">
            <v>16.3</v>
          </cell>
          <cell r="Z67" t="e">
            <v>#N/A</v>
          </cell>
          <cell r="AA67" t="e">
            <v>#N/A</v>
          </cell>
        </row>
        <row r="68">
          <cell r="B68" t="str">
            <v>Dominica</v>
          </cell>
          <cell r="T68" t="e">
            <v>#N/A</v>
          </cell>
          <cell r="U68" t="e">
            <v>#N/A</v>
          </cell>
          <cell r="W68">
            <v>24</v>
          </cell>
          <cell r="X68">
            <v>11.2</v>
          </cell>
          <cell r="Z68">
            <v>24</v>
          </cell>
          <cell r="AA68">
            <v>11.2</v>
          </cell>
        </row>
        <row r="69">
          <cell r="B69" t="str">
            <v>Dominican Republic</v>
          </cell>
          <cell r="T69" t="e">
            <v>#N/A</v>
          </cell>
          <cell r="U69" t="e">
            <v>#N/A</v>
          </cell>
          <cell r="W69">
            <v>38.299999999999997</v>
          </cell>
          <cell r="X69">
            <v>30.5</v>
          </cell>
          <cell r="Z69">
            <v>38.299999999999997</v>
          </cell>
          <cell r="AA69">
            <v>30.5</v>
          </cell>
        </row>
        <row r="70">
          <cell r="B70" t="str">
            <v>Ecuador</v>
          </cell>
          <cell r="T70" t="e">
            <v>#N/A</v>
          </cell>
          <cell r="U70" t="e">
            <v>#N/A</v>
          </cell>
          <cell r="W70">
            <v>50.1</v>
          </cell>
          <cell r="X70">
            <v>53.9</v>
          </cell>
          <cell r="Z70">
            <v>50.1</v>
          </cell>
          <cell r="AA70">
            <v>53.9</v>
          </cell>
        </row>
        <row r="71">
          <cell r="B71" t="str">
            <v>Egypt</v>
          </cell>
          <cell r="T71" t="e">
            <v>#N/A</v>
          </cell>
          <cell r="U71" t="e">
            <v>#N/A</v>
          </cell>
          <cell r="W71">
            <v>39.9</v>
          </cell>
          <cell r="X71">
            <v>36.5</v>
          </cell>
          <cell r="Z71" t="e">
            <v>#N/A</v>
          </cell>
          <cell r="AA71" t="e">
            <v>#N/A</v>
          </cell>
        </row>
        <row r="72">
          <cell r="B72" t="str">
            <v>El Salvador</v>
          </cell>
          <cell r="T72" t="e">
            <v>#N/A</v>
          </cell>
          <cell r="U72" t="e">
            <v>#N/A</v>
          </cell>
          <cell r="W72">
            <v>44.2</v>
          </cell>
          <cell r="X72">
            <v>22.1</v>
          </cell>
          <cell r="Z72">
            <v>44.2</v>
          </cell>
          <cell r="AA72">
            <v>22.1</v>
          </cell>
        </row>
        <row r="73">
          <cell r="B73" t="str">
            <v>Equatorial Guinea</v>
          </cell>
          <cell r="T73" t="e">
            <v>#N/A</v>
          </cell>
          <cell r="U73" t="e">
            <v>#N/A</v>
          </cell>
          <cell r="W73">
            <v>16.2</v>
          </cell>
          <cell r="X73">
            <v>1.9</v>
          </cell>
          <cell r="Z73" t="e">
            <v>#N/A</v>
          </cell>
          <cell r="AA73" t="e">
            <v>#N/A</v>
          </cell>
        </row>
        <row r="74">
          <cell r="B74" t="str">
            <v>Eritrea</v>
          </cell>
          <cell r="T74" t="e">
            <v>#N/A</v>
          </cell>
          <cell r="U74" t="e">
            <v>#N/A</v>
          </cell>
          <cell r="W74">
            <v>22.4</v>
          </cell>
          <cell r="X74">
            <v>23.4</v>
          </cell>
          <cell r="Z74" t="e">
            <v>#N/A</v>
          </cell>
          <cell r="AA74" t="e">
            <v>#N/A</v>
          </cell>
        </row>
        <row r="75">
          <cell r="B75" t="str">
            <v>Estonia</v>
          </cell>
          <cell r="T75" t="e">
            <v>#N/A</v>
          </cell>
          <cell r="U75" t="e">
            <v>#N/A</v>
          </cell>
          <cell r="W75">
            <v>57</v>
          </cell>
          <cell r="X75">
            <v>47.6</v>
          </cell>
          <cell r="Z75" t="e">
            <v>#N/A</v>
          </cell>
          <cell r="AA75" t="e">
            <v>#N/A</v>
          </cell>
        </row>
        <row r="76">
          <cell r="B76" t="str">
            <v>eSwatini (Swaziland)</v>
          </cell>
          <cell r="T76" t="e">
            <v>#N/A</v>
          </cell>
          <cell r="U76" t="e">
            <v>#N/A</v>
          </cell>
          <cell r="W76">
            <v>31.1</v>
          </cell>
          <cell r="X76">
            <v>35.700000000000003</v>
          </cell>
          <cell r="Z76" t="e">
            <v>#N/A</v>
          </cell>
          <cell r="AA76" t="e">
            <v>#N/A</v>
          </cell>
        </row>
        <row r="77">
          <cell r="B77" t="str">
            <v>Ethiopia</v>
          </cell>
          <cell r="T77" t="e">
            <v>#N/A</v>
          </cell>
          <cell r="U77" t="e">
            <v>#N/A</v>
          </cell>
          <cell r="W77">
            <v>40.6</v>
          </cell>
          <cell r="X77">
            <v>36.799999999999997</v>
          </cell>
          <cell r="Z77" t="e">
            <v>#N/A</v>
          </cell>
          <cell r="AA77" t="e">
            <v>#N/A</v>
          </cell>
        </row>
        <row r="78">
          <cell r="B78" t="str">
            <v>Fiji</v>
          </cell>
          <cell r="T78" t="e">
            <v>#N/A</v>
          </cell>
          <cell r="U78" t="e">
            <v>#N/A</v>
          </cell>
          <cell r="W78">
            <v>25.7</v>
          </cell>
          <cell r="X78">
            <v>24.6</v>
          </cell>
          <cell r="Z78" t="e">
            <v>#N/A</v>
          </cell>
          <cell r="AA78" t="e">
            <v>#N/A</v>
          </cell>
        </row>
        <row r="79">
          <cell r="B79" t="str">
            <v>Finland</v>
          </cell>
          <cell r="T79" t="e">
            <v>#N/A</v>
          </cell>
          <cell r="U79" t="e">
            <v>#N/A</v>
          </cell>
          <cell r="W79">
            <v>68.7</v>
          </cell>
          <cell r="X79">
            <v>68.5</v>
          </cell>
          <cell r="Z79" t="e">
            <v>#N/A</v>
          </cell>
          <cell r="AA79" t="e">
            <v>#N/A</v>
          </cell>
        </row>
        <row r="80">
          <cell r="B80" t="str">
            <v>France</v>
          </cell>
          <cell r="T80" t="e">
            <v>#N/A</v>
          </cell>
          <cell r="U80" t="e">
            <v>#N/A</v>
          </cell>
          <cell r="W80">
            <v>68.2</v>
          </cell>
          <cell r="X80">
            <v>71.2</v>
          </cell>
          <cell r="Z80" t="e">
            <v>#N/A</v>
          </cell>
          <cell r="AA80" t="e">
            <v>#N/A</v>
          </cell>
        </row>
        <row r="81">
          <cell r="B81" t="str">
            <v>Gabon</v>
          </cell>
          <cell r="T81" t="e">
            <v>#N/A</v>
          </cell>
          <cell r="U81" t="e">
            <v>#N/A</v>
          </cell>
          <cell r="W81">
            <v>20</v>
          </cell>
          <cell r="X81">
            <v>10.8</v>
          </cell>
          <cell r="Z81" t="e">
            <v>#N/A</v>
          </cell>
          <cell r="AA81" t="e">
            <v>#N/A</v>
          </cell>
        </row>
        <row r="82">
          <cell r="B82" t="str">
            <v>Gambia</v>
          </cell>
          <cell r="T82" t="e">
            <v>#N/A</v>
          </cell>
          <cell r="U82" t="e">
            <v>#N/A</v>
          </cell>
          <cell r="W82">
            <v>34.200000000000003</v>
          </cell>
          <cell r="X82">
            <v>22</v>
          </cell>
          <cell r="Z82" t="e">
            <v>#N/A</v>
          </cell>
          <cell r="AA82" t="e">
            <v>#N/A</v>
          </cell>
        </row>
        <row r="83">
          <cell r="B83" t="str">
            <v>Georgia</v>
          </cell>
          <cell r="T83" t="e">
            <v>#N/A</v>
          </cell>
          <cell r="U83" t="e">
            <v>#N/A</v>
          </cell>
          <cell r="W83">
            <v>52</v>
          </cell>
          <cell r="X83">
            <v>53.2</v>
          </cell>
          <cell r="Z83" t="e">
            <v>#N/A</v>
          </cell>
          <cell r="AA83" t="e">
            <v>#N/A</v>
          </cell>
        </row>
        <row r="84">
          <cell r="B84" t="str">
            <v>Germany</v>
          </cell>
          <cell r="T84" t="e">
            <v>#N/A</v>
          </cell>
          <cell r="U84" t="e">
            <v>#N/A</v>
          </cell>
          <cell r="W84">
            <v>66</v>
          </cell>
          <cell r="X84">
            <v>66.5</v>
          </cell>
          <cell r="Z84" t="e">
            <v>#N/A</v>
          </cell>
          <cell r="AA84" t="e">
            <v>#N/A</v>
          </cell>
        </row>
        <row r="85">
          <cell r="B85" t="str">
            <v>Ghana</v>
          </cell>
          <cell r="T85" t="e">
            <v>#N/A</v>
          </cell>
          <cell r="U85" t="e">
            <v>#N/A</v>
          </cell>
          <cell r="W85">
            <v>35.5</v>
          </cell>
          <cell r="X85">
            <v>32.200000000000003</v>
          </cell>
          <cell r="Z85" t="e">
            <v>#N/A</v>
          </cell>
          <cell r="AA85" t="e">
            <v>#N/A</v>
          </cell>
        </row>
        <row r="86">
          <cell r="B86" t="str">
            <v>Greece</v>
          </cell>
          <cell r="T86" t="e">
            <v>#N/A</v>
          </cell>
          <cell r="U86" t="e">
            <v>#N/A</v>
          </cell>
          <cell r="W86">
            <v>53.8</v>
          </cell>
          <cell r="X86">
            <v>54.2</v>
          </cell>
          <cell r="Z86" t="e">
            <v>#N/A</v>
          </cell>
          <cell r="AA86" t="e">
            <v>#N/A</v>
          </cell>
        </row>
        <row r="87">
          <cell r="B87" t="str">
            <v>Grenada</v>
          </cell>
          <cell r="T87" t="e">
            <v>#N/A</v>
          </cell>
          <cell r="U87" t="e">
            <v>#N/A</v>
          </cell>
          <cell r="W87">
            <v>27.5</v>
          </cell>
          <cell r="X87">
            <v>8.6</v>
          </cell>
          <cell r="Z87">
            <v>27.5</v>
          </cell>
          <cell r="AA87">
            <v>8.6</v>
          </cell>
        </row>
        <row r="88">
          <cell r="B88" t="str">
            <v>Guatemala</v>
          </cell>
          <cell r="T88" t="e">
            <v>#N/A</v>
          </cell>
          <cell r="U88" t="e">
            <v>#N/A</v>
          </cell>
          <cell r="W88">
            <v>32.700000000000003</v>
          </cell>
          <cell r="X88">
            <v>21.2</v>
          </cell>
          <cell r="Z88">
            <v>32.700000000000003</v>
          </cell>
          <cell r="AA88">
            <v>21.2</v>
          </cell>
        </row>
        <row r="89">
          <cell r="B89" t="str">
            <v>Guinea</v>
          </cell>
          <cell r="T89" t="e">
            <v>#N/A</v>
          </cell>
          <cell r="U89" t="e">
            <v>#N/A</v>
          </cell>
          <cell r="W89">
            <v>32.700000000000003</v>
          </cell>
          <cell r="X89">
            <v>27</v>
          </cell>
          <cell r="Z89" t="e">
            <v>#N/A</v>
          </cell>
          <cell r="AA89" t="e">
            <v>#N/A</v>
          </cell>
        </row>
        <row r="90">
          <cell r="B90" t="str">
            <v>Guinea-Bissau</v>
          </cell>
          <cell r="T90" t="e">
            <v>#N/A</v>
          </cell>
          <cell r="U90" t="e">
            <v>#N/A</v>
          </cell>
          <cell r="W90">
            <v>20</v>
          </cell>
          <cell r="X90">
            <v>14</v>
          </cell>
          <cell r="Z90" t="e">
            <v>#N/A</v>
          </cell>
          <cell r="AA90" t="e">
            <v>#N/A</v>
          </cell>
        </row>
        <row r="91">
          <cell r="B91" t="str">
            <v>Guyana</v>
          </cell>
          <cell r="T91" t="e">
            <v>#N/A</v>
          </cell>
          <cell r="U91" t="e">
            <v>#N/A</v>
          </cell>
          <cell r="W91">
            <v>31.7</v>
          </cell>
          <cell r="X91">
            <v>27.9</v>
          </cell>
          <cell r="Z91">
            <v>31.7</v>
          </cell>
          <cell r="AA91">
            <v>27.9</v>
          </cell>
        </row>
        <row r="92">
          <cell r="B92" t="str">
            <v>Haiti</v>
          </cell>
          <cell r="T92" t="e">
            <v>#N/A</v>
          </cell>
          <cell r="U92" t="e">
            <v>#N/A</v>
          </cell>
          <cell r="W92">
            <v>31.5</v>
          </cell>
          <cell r="X92">
            <v>31.5</v>
          </cell>
          <cell r="Z92">
            <v>31.5</v>
          </cell>
          <cell r="AA92">
            <v>31.5</v>
          </cell>
        </row>
        <row r="93">
          <cell r="B93" t="str">
            <v>Honduras</v>
          </cell>
          <cell r="T93" t="e">
            <v>#N/A</v>
          </cell>
          <cell r="U93" t="e">
            <v>#N/A</v>
          </cell>
          <cell r="W93">
            <v>27.6</v>
          </cell>
          <cell r="X93">
            <v>21.6</v>
          </cell>
          <cell r="Z93">
            <v>27.6</v>
          </cell>
          <cell r="AA93">
            <v>21.6</v>
          </cell>
        </row>
        <row r="94">
          <cell r="B94" t="str">
            <v>Hungary</v>
          </cell>
          <cell r="T94" t="e">
            <v>#N/A</v>
          </cell>
          <cell r="U94" t="e">
            <v>#N/A</v>
          </cell>
          <cell r="W94">
            <v>54</v>
          </cell>
          <cell r="X94">
            <v>56.4</v>
          </cell>
          <cell r="Z94" t="e">
            <v>#N/A</v>
          </cell>
          <cell r="AA94" t="e">
            <v>#N/A</v>
          </cell>
        </row>
        <row r="95">
          <cell r="B95" t="str">
            <v>Iceland</v>
          </cell>
          <cell r="T95" t="e">
            <v>#N/A</v>
          </cell>
          <cell r="U95" t="e">
            <v>#N/A</v>
          </cell>
          <cell r="W95">
            <v>46.3</v>
          </cell>
          <cell r="X95">
            <v>35.299999999999997</v>
          </cell>
          <cell r="Z95" t="e">
            <v>#N/A</v>
          </cell>
          <cell r="AA95" t="e">
            <v>#N/A</v>
          </cell>
        </row>
        <row r="96">
          <cell r="B96" t="str">
            <v>India</v>
          </cell>
          <cell r="T96" t="e">
            <v>#N/A</v>
          </cell>
          <cell r="U96" t="e">
            <v>#N/A</v>
          </cell>
          <cell r="W96">
            <v>46.5</v>
          </cell>
          <cell r="X96">
            <v>34.9</v>
          </cell>
          <cell r="Z96" t="e">
            <v>#N/A</v>
          </cell>
          <cell r="AA96" t="e">
            <v>#N/A</v>
          </cell>
        </row>
        <row r="97">
          <cell r="B97" t="str">
            <v>Indonesia</v>
          </cell>
          <cell r="T97" t="e">
            <v>#N/A</v>
          </cell>
          <cell r="U97" t="e">
            <v>#N/A</v>
          </cell>
          <cell r="W97">
            <v>56.6</v>
          </cell>
          <cell r="X97">
            <v>50.2</v>
          </cell>
          <cell r="Z97" t="e">
            <v>#N/A</v>
          </cell>
          <cell r="AA97" t="e">
            <v>#N/A</v>
          </cell>
        </row>
        <row r="98">
          <cell r="B98" t="str">
            <v>Iran</v>
          </cell>
          <cell r="T98" t="e">
            <v>#N/A</v>
          </cell>
          <cell r="U98" t="e">
            <v>#N/A</v>
          </cell>
          <cell r="W98">
            <v>37.700000000000003</v>
          </cell>
          <cell r="X98">
            <v>44.7</v>
          </cell>
          <cell r="Z98" t="e">
            <v>#N/A</v>
          </cell>
          <cell r="AA98" t="e">
            <v>#N/A</v>
          </cell>
        </row>
        <row r="99">
          <cell r="B99" t="str">
            <v>Iraq</v>
          </cell>
          <cell r="T99" t="e">
            <v>#N/A</v>
          </cell>
          <cell r="U99" t="e">
            <v>#N/A</v>
          </cell>
          <cell r="W99">
            <v>25.8</v>
          </cell>
          <cell r="X99">
            <v>22.1</v>
          </cell>
          <cell r="Z99" t="e">
            <v>#N/A</v>
          </cell>
          <cell r="AA99" t="e">
            <v>#N/A</v>
          </cell>
        </row>
        <row r="100">
          <cell r="B100" t="str">
            <v>Ireland</v>
          </cell>
          <cell r="T100" t="e">
            <v>#N/A</v>
          </cell>
          <cell r="U100" t="e">
            <v>#N/A</v>
          </cell>
          <cell r="W100">
            <v>59</v>
          </cell>
          <cell r="X100">
            <v>63.9</v>
          </cell>
          <cell r="Z100" t="e">
            <v>#N/A</v>
          </cell>
          <cell r="AA100" t="e">
            <v>#N/A</v>
          </cell>
        </row>
        <row r="101">
          <cell r="B101" t="str">
            <v>Israel</v>
          </cell>
          <cell r="T101" t="e">
            <v>#N/A</v>
          </cell>
          <cell r="U101" t="e">
            <v>#N/A</v>
          </cell>
          <cell r="W101">
            <v>47.3</v>
          </cell>
          <cell r="X101">
            <v>44</v>
          </cell>
          <cell r="Z101" t="e">
            <v>#N/A</v>
          </cell>
          <cell r="AA101" t="e">
            <v>#N/A</v>
          </cell>
        </row>
        <row r="102">
          <cell r="B102" t="str">
            <v>Italy</v>
          </cell>
          <cell r="T102" t="e">
            <v>#N/A</v>
          </cell>
          <cell r="U102" t="e">
            <v>#N/A</v>
          </cell>
          <cell r="W102">
            <v>56.2</v>
          </cell>
          <cell r="X102">
            <v>47.5</v>
          </cell>
          <cell r="Z102" t="e">
            <v>#N/A</v>
          </cell>
          <cell r="AA102" t="e">
            <v>#N/A</v>
          </cell>
        </row>
        <row r="103">
          <cell r="B103" t="str">
            <v>Jamaica</v>
          </cell>
          <cell r="T103" t="e">
            <v>#N/A</v>
          </cell>
          <cell r="U103" t="e">
            <v>#N/A</v>
          </cell>
          <cell r="W103">
            <v>29</v>
          </cell>
          <cell r="X103">
            <v>20.100000000000001</v>
          </cell>
          <cell r="Z103">
            <v>29</v>
          </cell>
          <cell r="AA103">
            <v>20.100000000000001</v>
          </cell>
        </row>
        <row r="104">
          <cell r="B104" t="str">
            <v>Japan</v>
          </cell>
          <cell r="T104" t="e">
            <v>#N/A</v>
          </cell>
          <cell r="U104" t="e">
            <v>#N/A</v>
          </cell>
          <cell r="W104">
            <v>59.8</v>
          </cell>
          <cell r="X104">
            <v>49.3</v>
          </cell>
          <cell r="Z104" t="e">
            <v>#N/A</v>
          </cell>
          <cell r="AA104" t="e">
            <v>#N/A</v>
          </cell>
        </row>
        <row r="105">
          <cell r="B105" t="str">
            <v>Jordan</v>
          </cell>
          <cell r="T105" t="e">
            <v>#N/A</v>
          </cell>
          <cell r="U105" t="e">
            <v>#N/A</v>
          </cell>
          <cell r="W105">
            <v>42.1</v>
          </cell>
          <cell r="X105">
            <v>31.8</v>
          </cell>
          <cell r="Z105" t="e">
            <v>#N/A</v>
          </cell>
          <cell r="AA105" t="e">
            <v>#N/A</v>
          </cell>
        </row>
        <row r="106">
          <cell r="B106" t="str">
            <v>Kazakhstan</v>
          </cell>
          <cell r="T106" t="e">
            <v>#N/A</v>
          </cell>
          <cell r="U106" t="e">
            <v>#N/A</v>
          </cell>
          <cell r="W106">
            <v>40.700000000000003</v>
          </cell>
          <cell r="X106">
            <v>58.8</v>
          </cell>
          <cell r="Z106" t="e">
            <v>#N/A</v>
          </cell>
          <cell r="AA106" t="e">
            <v>#N/A</v>
          </cell>
        </row>
        <row r="107">
          <cell r="B107" t="str">
            <v>Kenya</v>
          </cell>
          <cell r="T107" t="e">
            <v>#N/A</v>
          </cell>
          <cell r="U107" t="e">
            <v>#N/A</v>
          </cell>
          <cell r="W107">
            <v>47.1</v>
          </cell>
          <cell r="X107">
            <v>45.9</v>
          </cell>
          <cell r="Z107" t="e">
            <v>#N/A</v>
          </cell>
          <cell r="AA107" t="e">
            <v>#N/A</v>
          </cell>
        </row>
        <row r="108">
          <cell r="B108" t="str">
            <v>Kiribati</v>
          </cell>
          <cell r="T108" t="e">
            <v>#N/A</v>
          </cell>
          <cell r="U108" t="e">
            <v>#N/A</v>
          </cell>
          <cell r="W108">
            <v>19.2</v>
          </cell>
          <cell r="X108">
            <v>10.7</v>
          </cell>
          <cell r="Z108" t="e">
            <v>#N/A</v>
          </cell>
          <cell r="AA108" t="e">
            <v>#N/A</v>
          </cell>
        </row>
        <row r="109">
          <cell r="B109" t="str">
            <v>Kuwait</v>
          </cell>
          <cell r="T109" t="e">
            <v>#N/A</v>
          </cell>
          <cell r="U109" t="e">
            <v>#N/A</v>
          </cell>
          <cell r="W109">
            <v>46.1</v>
          </cell>
          <cell r="X109">
            <v>40.9</v>
          </cell>
          <cell r="Z109" t="e">
            <v>#N/A</v>
          </cell>
          <cell r="AA109" t="e">
            <v>#N/A</v>
          </cell>
        </row>
        <row r="110">
          <cell r="B110" t="str">
            <v>Kyrgyz Republic</v>
          </cell>
          <cell r="T110" t="e">
            <v>#N/A</v>
          </cell>
          <cell r="U110" t="e">
            <v>#N/A</v>
          </cell>
          <cell r="W110">
            <v>49.3</v>
          </cell>
          <cell r="X110">
            <v>29.7</v>
          </cell>
          <cell r="Z110" t="e">
            <v>#N/A</v>
          </cell>
          <cell r="AA110" t="e">
            <v>#N/A</v>
          </cell>
        </row>
        <row r="111">
          <cell r="B111" t="str">
            <v>Laos</v>
          </cell>
          <cell r="T111" t="e">
            <v>#N/A</v>
          </cell>
          <cell r="U111" t="e">
            <v>#N/A</v>
          </cell>
          <cell r="W111">
            <v>43.1</v>
          </cell>
          <cell r="X111">
            <v>18.899999999999999</v>
          </cell>
          <cell r="Z111" t="e">
            <v>#N/A</v>
          </cell>
          <cell r="AA111" t="e">
            <v>#N/A</v>
          </cell>
        </row>
        <row r="112">
          <cell r="B112" t="str">
            <v>Latvia</v>
          </cell>
          <cell r="T112" t="e">
            <v>#N/A</v>
          </cell>
          <cell r="U112" t="e">
            <v>#N/A</v>
          </cell>
          <cell r="W112">
            <v>62.9</v>
          </cell>
          <cell r="X112">
            <v>56</v>
          </cell>
          <cell r="Z112" t="e">
            <v>#N/A</v>
          </cell>
          <cell r="AA112" t="e">
            <v>#N/A</v>
          </cell>
        </row>
        <row r="113">
          <cell r="B113" t="str">
            <v>Lebanon</v>
          </cell>
          <cell r="T113" t="e">
            <v>#N/A</v>
          </cell>
          <cell r="U113" t="e">
            <v>#N/A</v>
          </cell>
          <cell r="W113">
            <v>43.1</v>
          </cell>
          <cell r="X113">
            <v>27.3</v>
          </cell>
          <cell r="Z113" t="e">
            <v>#N/A</v>
          </cell>
          <cell r="AA113" t="e">
            <v>#N/A</v>
          </cell>
        </row>
        <row r="114">
          <cell r="B114" t="str">
            <v>Lesotho</v>
          </cell>
          <cell r="T114" t="e">
            <v>#N/A</v>
          </cell>
          <cell r="U114" t="e">
            <v>#N/A</v>
          </cell>
          <cell r="W114">
            <v>30.2</v>
          </cell>
          <cell r="X114">
            <v>24.4</v>
          </cell>
          <cell r="Z114" t="e">
            <v>#N/A</v>
          </cell>
          <cell r="AA114" t="e">
            <v>#N/A</v>
          </cell>
        </row>
        <row r="115">
          <cell r="B115" t="str">
            <v>Liberia</v>
          </cell>
          <cell r="T115" t="e">
            <v>#N/A</v>
          </cell>
          <cell r="U115" t="e">
            <v>#N/A</v>
          </cell>
          <cell r="W115">
            <v>35.1</v>
          </cell>
          <cell r="X115">
            <v>14.3</v>
          </cell>
          <cell r="Z115" t="e">
            <v>#N/A</v>
          </cell>
          <cell r="AA115" t="e">
            <v>#N/A</v>
          </cell>
        </row>
        <row r="116">
          <cell r="B116" t="str">
            <v>Libya</v>
          </cell>
          <cell r="T116" t="e">
            <v>#N/A</v>
          </cell>
          <cell r="U116" t="e">
            <v>#N/A</v>
          </cell>
          <cell r="W116">
            <v>25.7</v>
          </cell>
          <cell r="X116">
            <v>23.2</v>
          </cell>
          <cell r="Z116" t="e">
            <v>#N/A</v>
          </cell>
          <cell r="AA116" t="e">
            <v>#N/A</v>
          </cell>
        </row>
        <row r="117">
          <cell r="B117" t="str">
            <v>Liechtenstein</v>
          </cell>
          <cell r="T117" t="e">
            <v>#N/A</v>
          </cell>
          <cell r="U117" t="e">
            <v>#N/A</v>
          </cell>
          <cell r="W117">
            <v>43.5</v>
          </cell>
          <cell r="X117">
            <v>43.1</v>
          </cell>
          <cell r="Z117" t="e">
            <v>#N/A</v>
          </cell>
          <cell r="AA117" t="e">
            <v>#N/A</v>
          </cell>
        </row>
        <row r="118">
          <cell r="B118" t="str">
            <v>Lithuania</v>
          </cell>
          <cell r="T118" t="e">
            <v>#N/A</v>
          </cell>
          <cell r="U118" t="e">
            <v>#N/A</v>
          </cell>
          <cell r="W118">
            <v>55</v>
          </cell>
          <cell r="X118">
            <v>43.5</v>
          </cell>
          <cell r="Z118" t="e">
            <v>#N/A</v>
          </cell>
          <cell r="AA118" t="e">
            <v>#N/A</v>
          </cell>
        </row>
        <row r="119">
          <cell r="B119" t="str">
            <v>Luxembourg</v>
          </cell>
          <cell r="T119" t="e">
            <v>#N/A</v>
          </cell>
          <cell r="U119" t="e">
            <v>#N/A</v>
          </cell>
          <cell r="W119">
            <v>43.8</v>
          </cell>
          <cell r="X119">
            <v>31</v>
          </cell>
          <cell r="Z119" t="e">
            <v>#N/A</v>
          </cell>
          <cell r="AA119" t="e">
            <v>#N/A</v>
          </cell>
        </row>
        <row r="120">
          <cell r="B120" t="str">
            <v>Madagascar</v>
          </cell>
          <cell r="T120" t="e">
            <v>#N/A</v>
          </cell>
          <cell r="U120" t="e">
            <v>#N/A</v>
          </cell>
          <cell r="W120">
            <v>40.1</v>
          </cell>
          <cell r="X120">
            <v>30.1</v>
          </cell>
          <cell r="Z120" t="e">
            <v>#N/A</v>
          </cell>
          <cell r="AA120" t="e">
            <v>#N/A</v>
          </cell>
        </row>
        <row r="121">
          <cell r="B121" t="str">
            <v>Malawi</v>
          </cell>
          <cell r="T121" t="e">
            <v>#N/A</v>
          </cell>
          <cell r="U121" t="e">
            <v>#N/A</v>
          </cell>
          <cell r="W121">
            <v>28</v>
          </cell>
          <cell r="X121">
            <v>25.5</v>
          </cell>
          <cell r="Z121" t="e">
            <v>#N/A</v>
          </cell>
          <cell r="AA121" t="e">
            <v>#N/A</v>
          </cell>
        </row>
        <row r="122">
          <cell r="B122" t="str">
            <v>Malaysia</v>
          </cell>
          <cell r="T122" t="e">
            <v>#N/A</v>
          </cell>
          <cell r="U122" t="e">
            <v>#N/A</v>
          </cell>
          <cell r="W122">
            <v>62.2</v>
          </cell>
          <cell r="X122">
            <v>51.4</v>
          </cell>
          <cell r="Z122" t="e">
            <v>#N/A</v>
          </cell>
          <cell r="AA122" t="e">
            <v>#N/A</v>
          </cell>
        </row>
        <row r="123">
          <cell r="B123" t="str">
            <v>Maldives</v>
          </cell>
          <cell r="T123" t="e">
            <v>#N/A</v>
          </cell>
          <cell r="U123" t="e">
            <v>#N/A</v>
          </cell>
          <cell r="W123">
            <v>33.799999999999997</v>
          </cell>
          <cell r="X123">
            <v>21.8</v>
          </cell>
          <cell r="Z123" t="e">
            <v>#N/A</v>
          </cell>
          <cell r="AA123" t="e">
            <v>#N/A</v>
          </cell>
        </row>
        <row r="124">
          <cell r="B124" t="str">
            <v>Mali</v>
          </cell>
          <cell r="T124" t="e">
            <v>#N/A</v>
          </cell>
          <cell r="U124" t="e">
            <v>#N/A</v>
          </cell>
          <cell r="W124">
            <v>29</v>
          </cell>
          <cell r="X124">
            <v>23.4</v>
          </cell>
          <cell r="Z124" t="e">
            <v>#N/A</v>
          </cell>
          <cell r="AA124" t="e">
            <v>#N/A</v>
          </cell>
        </row>
        <row r="125">
          <cell r="B125" t="str">
            <v>Malta</v>
          </cell>
          <cell r="T125" t="e">
            <v>#N/A</v>
          </cell>
          <cell r="U125" t="e">
            <v>#N/A</v>
          </cell>
          <cell r="W125">
            <v>37.299999999999997</v>
          </cell>
          <cell r="X125">
            <v>35</v>
          </cell>
          <cell r="Z125" t="e">
            <v>#N/A</v>
          </cell>
          <cell r="AA125" t="e">
            <v>#N/A</v>
          </cell>
        </row>
        <row r="126">
          <cell r="B126" t="str">
            <v>Marshall Islands</v>
          </cell>
          <cell r="T126" t="e">
            <v>#N/A</v>
          </cell>
          <cell r="U126" t="e">
            <v>#N/A</v>
          </cell>
          <cell r="W126">
            <v>18.2</v>
          </cell>
          <cell r="X126">
            <v>7</v>
          </cell>
          <cell r="Z126" t="e">
            <v>#N/A</v>
          </cell>
          <cell r="AA126" t="e">
            <v>#N/A</v>
          </cell>
        </row>
        <row r="127">
          <cell r="B127" t="str">
            <v>Mauritania</v>
          </cell>
          <cell r="T127" t="e">
            <v>#N/A</v>
          </cell>
          <cell r="U127" t="e">
            <v>#N/A</v>
          </cell>
          <cell r="W127">
            <v>27.5</v>
          </cell>
          <cell r="X127">
            <v>9.9</v>
          </cell>
          <cell r="Z127" t="e">
            <v>#N/A</v>
          </cell>
          <cell r="AA127" t="e">
            <v>#N/A</v>
          </cell>
        </row>
        <row r="128">
          <cell r="B128" t="str">
            <v>Mauritius</v>
          </cell>
          <cell r="T128" t="e">
            <v>#N/A</v>
          </cell>
          <cell r="U128" t="e">
            <v>#N/A</v>
          </cell>
          <cell r="W128">
            <v>34.9</v>
          </cell>
          <cell r="X128">
            <v>27.3</v>
          </cell>
          <cell r="Z128" t="e">
            <v>#N/A</v>
          </cell>
          <cell r="AA128" t="e">
            <v>#N/A</v>
          </cell>
        </row>
        <row r="129">
          <cell r="B129" t="str">
            <v>Mexico</v>
          </cell>
          <cell r="T129" t="e">
            <v>#N/A</v>
          </cell>
          <cell r="U129" t="e">
            <v>#N/A</v>
          </cell>
          <cell r="W129">
            <v>57.6</v>
          </cell>
          <cell r="X129">
            <v>45.5</v>
          </cell>
          <cell r="Z129">
            <v>57.6</v>
          </cell>
          <cell r="AA129">
            <v>45.5</v>
          </cell>
        </row>
        <row r="130">
          <cell r="B130" t="str">
            <v>Micronesia</v>
          </cell>
          <cell r="T130" t="e">
            <v>#N/A</v>
          </cell>
          <cell r="U130" t="e">
            <v>#N/A</v>
          </cell>
          <cell r="W130">
            <v>32.799999999999997</v>
          </cell>
          <cell r="X130">
            <v>21</v>
          </cell>
          <cell r="Z130" t="e">
            <v>#N/A</v>
          </cell>
          <cell r="AA130" t="e">
            <v>#N/A</v>
          </cell>
        </row>
        <row r="131">
          <cell r="B131" t="str">
            <v>Moldova</v>
          </cell>
          <cell r="T131" t="e">
            <v>#N/A</v>
          </cell>
          <cell r="U131" t="e">
            <v>#N/A</v>
          </cell>
          <cell r="W131">
            <v>42.9</v>
          </cell>
          <cell r="X131">
            <v>46.5</v>
          </cell>
          <cell r="Z131" t="e">
            <v>#N/A</v>
          </cell>
          <cell r="AA131" t="e">
            <v>#N/A</v>
          </cell>
        </row>
        <row r="132">
          <cell r="B132" t="str">
            <v>Monaco</v>
          </cell>
          <cell r="T132" t="e">
            <v>#N/A</v>
          </cell>
          <cell r="U132" t="e">
            <v>#N/A</v>
          </cell>
          <cell r="W132">
            <v>32.700000000000003</v>
          </cell>
          <cell r="X132">
            <v>11.1</v>
          </cell>
          <cell r="Z132" t="e">
            <v>#N/A</v>
          </cell>
          <cell r="AA132" t="e">
            <v>#N/A</v>
          </cell>
        </row>
        <row r="133">
          <cell r="B133" t="str">
            <v>Mongolia</v>
          </cell>
          <cell r="T133" t="e">
            <v>#N/A</v>
          </cell>
          <cell r="U133" t="e">
            <v>#N/A</v>
          </cell>
          <cell r="W133">
            <v>49.5</v>
          </cell>
          <cell r="X133">
            <v>37.6</v>
          </cell>
          <cell r="Z133" t="e">
            <v>#N/A</v>
          </cell>
          <cell r="AA133" t="e">
            <v>#N/A</v>
          </cell>
        </row>
        <row r="134">
          <cell r="B134" t="str">
            <v>Montenegro</v>
          </cell>
          <cell r="T134" t="e">
            <v>#N/A</v>
          </cell>
          <cell r="U134" t="e">
            <v>#N/A</v>
          </cell>
          <cell r="W134">
            <v>43.7</v>
          </cell>
          <cell r="X134">
            <v>36.5</v>
          </cell>
          <cell r="Z134" t="e">
            <v>#N/A</v>
          </cell>
          <cell r="AA134" t="e">
            <v>#N/A</v>
          </cell>
        </row>
        <row r="135">
          <cell r="B135" t="str">
            <v>Morocco</v>
          </cell>
          <cell r="T135" t="e">
            <v>#N/A</v>
          </cell>
          <cell r="U135" t="e">
            <v>#N/A</v>
          </cell>
          <cell r="W135">
            <v>43.7</v>
          </cell>
          <cell r="X135">
            <v>34.6</v>
          </cell>
          <cell r="Z135" t="e">
            <v>#N/A</v>
          </cell>
          <cell r="AA135" t="e">
            <v>#N/A</v>
          </cell>
        </row>
        <row r="136">
          <cell r="B136" t="str">
            <v>Mozambique</v>
          </cell>
          <cell r="T136" t="e">
            <v>#N/A</v>
          </cell>
          <cell r="U136" t="e">
            <v>#N/A</v>
          </cell>
          <cell r="W136">
            <v>28.1</v>
          </cell>
          <cell r="X136">
            <v>26.5</v>
          </cell>
          <cell r="Z136" t="e">
            <v>#N/A</v>
          </cell>
          <cell r="AA136" t="e">
            <v>#N/A</v>
          </cell>
        </row>
        <row r="137">
          <cell r="B137" t="str">
            <v>Myanmar</v>
          </cell>
          <cell r="T137" t="e">
            <v>#N/A</v>
          </cell>
          <cell r="U137" t="e">
            <v>#N/A</v>
          </cell>
          <cell r="W137">
            <v>43.4</v>
          </cell>
          <cell r="X137">
            <v>30.3</v>
          </cell>
          <cell r="Z137" t="e">
            <v>#N/A</v>
          </cell>
          <cell r="AA137" t="e">
            <v>#N/A</v>
          </cell>
        </row>
        <row r="138">
          <cell r="B138" t="str">
            <v>Namibia</v>
          </cell>
          <cell r="T138" t="e">
            <v>#N/A</v>
          </cell>
          <cell r="U138" t="e">
            <v>#N/A</v>
          </cell>
          <cell r="W138">
            <v>35.6</v>
          </cell>
          <cell r="X138">
            <v>32</v>
          </cell>
          <cell r="Z138" t="e">
            <v>#N/A</v>
          </cell>
          <cell r="AA138" t="e">
            <v>#N/A</v>
          </cell>
        </row>
        <row r="139">
          <cell r="B139" t="str">
            <v>Nauru</v>
          </cell>
          <cell r="T139" t="e">
            <v>#N/A</v>
          </cell>
          <cell r="U139" t="e">
            <v>#N/A</v>
          </cell>
          <cell r="W139">
            <v>20.8</v>
          </cell>
          <cell r="X139">
            <v>9.1</v>
          </cell>
          <cell r="Z139" t="e">
            <v>#N/A</v>
          </cell>
          <cell r="AA139" t="e">
            <v>#N/A</v>
          </cell>
        </row>
        <row r="140">
          <cell r="B140" t="str">
            <v>Nepal</v>
          </cell>
          <cell r="T140" t="e">
            <v>#N/A</v>
          </cell>
          <cell r="U140" t="e">
            <v>#N/A</v>
          </cell>
          <cell r="W140">
            <v>35.1</v>
          </cell>
          <cell r="X140">
            <v>43.7</v>
          </cell>
          <cell r="Z140" t="e">
            <v>#N/A</v>
          </cell>
          <cell r="AA140" t="e">
            <v>#N/A</v>
          </cell>
        </row>
        <row r="141">
          <cell r="B141" t="str">
            <v>Netherlands</v>
          </cell>
          <cell r="T141" t="e">
            <v>#N/A</v>
          </cell>
          <cell r="U141" t="e">
            <v>#N/A</v>
          </cell>
          <cell r="W141">
            <v>75.599999999999994</v>
          </cell>
          <cell r="X141">
            <v>73.7</v>
          </cell>
          <cell r="Z141" t="e">
            <v>#N/A</v>
          </cell>
          <cell r="AA141" t="e">
            <v>#N/A</v>
          </cell>
        </row>
        <row r="142">
          <cell r="B142" t="str">
            <v>New Zealand</v>
          </cell>
          <cell r="T142" t="e">
            <v>#N/A</v>
          </cell>
          <cell r="U142" t="e">
            <v>#N/A</v>
          </cell>
          <cell r="W142">
            <v>54</v>
          </cell>
          <cell r="X142">
            <v>55</v>
          </cell>
          <cell r="Z142" t="e">
            <v>#N/A</v>
          </cell>
          <cell r="AA142" t="e">
            <v>#N/A</v>
          </cell>
        </row>
        <row r="143">
          <cell r="B143" t="str">
            <v>Nicaragua</v>
          </cell>
          <cell r="T143" t="e">
            <v>#N/A</v>
          </cell>
          <cell r="U143" t="e">
            <v>#N/A</v>
          </cell>
          <cell r="W143">
            <v>43.1</v>
          </cell>
          <cell r="X143">
            <v>41.7</v>
          </cell>
          <cell r="Z143">
            <v>43.1</v>
          </cell>
          <cell r="AA143">
            <v>41.7</v>
          </cell>
        </row>
        <row r="144">
          <cell r="B144" t="str">
            <v>Niger</v>
          </cell>
          <cell r="T144" t="e">
            <v>#N/A</v>
          </cell>
          <cell r="U144" t="e">
            <v>#N/A</v>
          </cell>
          <cell r="W144">
            <v>32.200000000000003</v>
          </cell>
          <cell r="X144">
            <v>32.5</v>
          </cell>
          <cell r="Z144" t="e">
            <v>#N/A</v>
          </cell>
          <cell r="AA144" t="e">
            <v>#N/A</v>
          </cell>
        </row>
        <row r="145">
          <cell r="B145" t="str">
            <v>Nigeria</v>
          </cell>
          <cell r="T145" t="e">
            <v>#N/A</v>
          </cell>
          <cell r="U145" t="e">
            <v>#N/A</v>
          </cell>
          <cell r="W145">
            <v>37.799999999999997</v>
          </cell>
          <cell r="X145">
            <v>26.3</v>
          </cell>
          <cell r="Z145" t="e">
            <v>#N/A</v>
          </cell>
          <cell r="AA145" t="e">
            <v>#N/A</v>
          </cell>
        </row>
        <row r="146">
          <cell r="B146" t="str">
            <v>Niue</v>
          </cell>
          <cell r="T146" t="e">
            <v>#N/A</v>
          </cell>
          <cell r="U146" t="e">
            <v>#N/A</v>
          </cell>
          <cell r="W146">
            <v>20.5</v>
          </cell>
          <cell r="X146">
            <v>11</v>
          </cell>
          <cell r="Z146" t="e">
            <v>#N/A</v>
          </cell>
          <cell r="AA146" t="e">
            <v>#N/A</v>
          </cell>
        </row>
        <row r="147">
          <cell r="B147" t="str">
            <v>North Korea</v>
          </cell>
          <cell r="T147" t="e">
            <v>#N/A</v>
          </cell>
          <cell r="U147" t="e">
            <v>#N/A</v>
          </cell>
          <cell r="W147">
            <v>17.5</v>
          </cell>
          <cell r="X147">
            <v>19</v>
          </cell>
          <cell r="Z147" t="e">
            <v>#N/A</v>
          </cell>
          <cell r="AA147" t="e">
            <v>#N/A</v>
          </cell>
        </row>
        <row r="148">
          <cell r="B148" t="str">
            <v>North Macedonia</v>
          </cell>
          <cell r="T148" t="e">
            <v>#N/A</v>
          </cell>
          <cell r="U148" t="e">
            <v>#N/A</v>
          </cell>
          <cell r="W148">
            <v>39.1</v>
          </cell>
          <cell r="X148">
            <v>37</v>
          </cell>
          <cell r="Z148" t="e">
            <v>#N/A</v>
          </cell>
          <cell r="AA148" t="e">
            <v>#N/A</v>
          </cell>
        </row>
        <row r="149">
          <cell r="B149" t="str">
            <v>Norway</v>
          </cell>
          <cell r="T149" t="e">
            <v>#N/A</v>
          </cell>
          <cell r="U149" t="e">
            <v>#N/A</v>
          </cell>
          <cell r="W149">
            <v>64.599999999999994</v>
          </cell>
          <cell r="X149">
            <v>68.2</v>
          </cell>
          <cell r="Z149" t="e">
            <v>#N/A</v>
          </cell>
          <cell r="AA149" t="e">
            <v>#N/A</v>
          </cell>
        </row>
        <row r="150">
          <cell r="B150" t="str">
            <v>Oman</v>
          </cell>
          <cell r="T150" t="e">
            <v>#N/A</v>
          </cell>
          <cell r="U150" t="e">
            <v>#N/A</v>
          </cell>
          <cell r="W150">
            <v>43.1</v>
          </cell>
          <cell r="X150">
            <v>35.299999999999997</v>
          </cell>
          <cell r="Z150" t="e">
            <v>#N/A</v>
          </cell>
          <cell r="AA150" t="e">
            <v>#N/A</v>
          </cell>
        </row>
        <row r="151">
          <cell r="B151" t="str">
            <v>Pakistan</v>
          </cell>
          <cell r="T151" t="e">
            <v>#N/A</v>
          </cell>
          <cell r="U151" t="e">
            <v>#N/A</v>
          </cell>
          <cell r="W151">
            <v>35.5</v>
          </cell>
          <cell r="X151">
            <v>24.1</v>
          </cell>
          <cell r="Z151" t="e">
            <v>#N/A</v>
          </cell>
          <cell r="AA151" t="e">
            <v>#N/A</v>
          </cell>
        </row>
        <row r="152">
          <cell r="B152" t="str">
            <v>Palau</v>
          </cell>
          <cell r="T152" t="e">
            <v>#N/A</v>
          </cell>
          <cell r="U152" t="e">
            <v>#N/A</v>
          </cell>
          <cell r="W152">
            <v>21.9</v>
          </cell>
          <cell r="X152">
            <v>8.1999999999999993</v>
          </cell>
          <cell r="Z152" t="e">
            <v>#N/A</v>
          </cell>
          <cell r="AA152" t="e">
            <v>#N/A</v>
          </cell>
        </row>
        <row r="153">
          <cell r="B153" t="str">
            <v>Panama</v>
          </cell>
          <cell r="T153" t="e">
            <v>#N/A</v>
          </cell>
          <cell r="U153" t="e">
            <v>#N/A</v>
          </cell>
          <cell r="W153">
            <v>43.7</v>
          </cell>
          <cell r="X153">
            <v>40.5</v>
          </cell>
          <cell r="Z153">
            <v>43.7</v>
          </cell>
          <cell r="AA153">
            <v>40.5</v>
          </cell>
        </row>
        <row r="154">
          <cell r="B154" t="str">
            <v>Papua New Guinea</v>
          </cell>
          <cell r="T154" t="e">
            <v>#N/A</v>
          </cell>
          <cell r="U154" t="e">
            <v>#N/A</v>
          </cell>
          <cell r="W154">
            <v>27.8</v>
          </cell>
          <cell r="X154">
            <v>10</v>
          </cell>
          <cell r="Z154" t="e">
            <v>#N/A</v>
          </cell>
          <cell r="AA154" t="e">
            <v>#N/A</v>
          </cell>
        </row>
        <row r="155">
          <cell r="B155" t="str">
            <v>Paraguay</v>
          </cell>
          <cell r="T155" t="e">
            <v>#N/A</v>
          </cell>
          <cell r="U155" t="e">
            <v>#N/A</v>
          </cell>
          <cell r="W155">
            <v>35.700000000000003</v>
          </cell>
          <cell r="X155">
            <v>39.5</v>
          </cell>
          <cell r="Z155">
            <v>35.700000000000003</v>
          </cell>
          <cell r="AA155">
            <v>39.5</v>
          </cell>
        </row>
        <row r="156">
          <cell r="B156" t="str">
            <v>Peru</v>
          </cell>
          <cell r="T156" t="e">
            <v>#N/A</v>
          </cell>
          <cell r="U156" t="e">
            <v>#N/A</v>
          </cell>
          <cell r="W156">
            <v>49.2</v>
          </cell>
          <cell r="X156">
            <v>43.2</v>
          </cell>
          <cell r="Z156">
            <v>49.2</v>
          </cell>
          <cell r="AA156">
            <v>43.2</v>
          </cell>
        </row>
        <row r="157">
          <cell r="B157" t="str">
            <v>Philippines</v>
          </cell>
          <cell r="T157" t="e">
            <v>#N/A</v>
          </cell>
          <cell r="U157" t="e">
            <v>#N/A</v>
          </cell>
          <cell r="W157">
            <v>47.6</v>
          </cell>
          <cell r="X157">
            <v>38.5</v>
          </cell>
          <cell r="Z157" t="e">
            <v>#N/A</v>
          </cell>
          <cell r="AA157" t="e">
            <v>#N/A</v>
          </cell>
        </row>
        <row r="158">
          <cell r="B158" t="str">
            <v>Poland</v>
          </cell>
          <cell r="T158" t="e">
            <v>#N/A</v>
          </cell>
          <cell r="U158" t="e">
            <v>#N/A</v>
          </cell>
          <cell r="W158">
            <v>55.4</v>
          </cell>
          <cell r="X158">
            <v>50.9</v>
          </cell>
          <cell r="Z158" t="e">
            <v>#N/A</v>
          </cell>
          <cell r="AA158" t="e">
            <v>#N/A</v>
          </cell>
        </row>
        <row r="159">
          <cell r="B159" t="str">
            <v>Portugal</v>
          </cell>
          <cell r="T159" t="e">
            <v>#N/A</v>
          </cell>
          <cell r="U159" t="e">
            <v>#N/A</v>
          </cell>
          <cell r="W159">
            <v>60.3</v>
          </cell>
          <cell r="X159">
            <v>52.8</v>
          </cell>
          <cell r="Z159" t="e">
            <v>#N/A</v>
          </cell>
          <cell r="AA159" t="e">
            <v>#N/A</v>
          </cell>
        </row>
        <row r="160">
          <cell r="B160" t="str">
            <v>Qatar</v>
          </cell>
          <cell r="T160" t="e">
            <v>#N/A</v>
          </cell>
          <cell r="U160" t="e">
            <v>#N/A</v>
          </cell>
          <cell r="W160">
            <v>41.2</v>
          </cell>
          <cell r="X160">
            <v>33.1</v>
          </cell>
          <cell r="Z160" t="e">
            <v>#N/A</v>
          </cell>
          <cell r="AA160" t="e">
            <v>#N/A</v>
          </cell>
        </row>
        <row r="161">
          <cell r="B161" t="str">
            <v>Romania</v>
          </cell>
          <cell r="T161" t="e">
            <v>#N/A</v>
          </cell>
          <cell r="U161" t="e">
            <v>#N/A</v>
          </cell>
          <cell r="W161">
            <v>45.8</v>
          </cell>
          <cell r="X161">
            <v>48.9</v>
          </cell>
          <cell r="Z161" t="e">
            <v>#N/A</v>
          </cell>
          <cell r="AA161" t="e">
            <v>#N/A</v>
          </cell>
        </row>
        <row r="162">
          <cell r="B162" t="str">
            <v>Russia</v>
          </cell>
          <cell r="T162" t="e">
            <v>#N/A</v>
          </cell>
          <cell r="U162" t="e">
            <v>#N/A</v>
          </cell>
          <cell r="W162">
            <v>44.3</v>
          </cell>
          <cell r="X162">
            <v>42.9</v>
          </cell>
          <cell r="Z162" t="e">
            <v>#N/A</v>
          </cell>
          <cell r="AA162" t="e">
            <v>#N/A</v>
          </cell>
        </row>
        <row r="163">
          <cell r="B163" t="str">
            <v>Rwanda</v>
          </cell>
          <cell r="T163" t="e">
            <v>#N/A</v>
          </cell>
          <cell r="U163" t="e">
            <v>#N/A</v>
          </cell>
          <cell r="W163">
            <v>34.200000000000003</v>
          </cell>
          <cell r="X163">
            <v>33.799999999999997</v>
          </cell>
          <cell r="Z163" t="e">
            <v>#N/A</v>
          </cell>
          <cell r="AA163" t="e">
            <v>#N/A</v>
          </cell>
        </row>
        <row r="164">
          <cell r="B164" t="str">
            <v>Samoa</v>
          </cell>
          <cell r="T164" t="e">
            <v>#N/A</v>
          </cell>
          <cell r="U164" t="e">
            <v>#N/A</v>
          </cell>
          <cell r="W164">
            <v>26.4</v>
          </cell>
          <cell r="X164">
            <v>20.2</v>
          </cell>
          <cell r="Z164" t="e">
            <v>#N/A</v>
          </cell>
          <cell r="AA164" t="e">
            <v>#N/A</v>
          </cell>
        </row>
        <row r="165">
          <cell r="B165" t="str">
            <v>San Marino</v>
          </cell>
          <cell r="T165" t="e">
            <v>#N/A</v>
          </cell>
          <cell r="U165" t="e">
            <v>#N/A</v>
          </cell>
          <cell r="W165">
            <v>31.1</v>
          </cell>
          <cell r="X165">
            <v>22.3</v>
          </cell>
          <cell r="Z165" t="e">
            <v>#N/A</v>
          </cell>
          <cell r="AA165" t="e">
            <v>#N/A</v>
          </cell>
        </row>
        <row r="166">
          <cell r="B166" t="str">
            <v>São Tomé and Príncipe</v>
          </cell>
          <cell r="T166" t="e">
            <v>#N/A</v>
          </cell>
          <cell r="U166" t="e">
            <v>#N/A</v>
          </cell>
          <cell r="W166">
            <v>17.7</v>
          </cell>
          <cell r="X166">
            <v>8.1999999999999993</v>
          </cell>
          <cell r="Z166" t="e">
            <v>#N/A</v>
          </cell>
          <cell r="AA166" t="e">
            <v>#N/A</v>
          </cell>
        </row>
        <row r="167">
          <cell r="B167" t="str">
            <v>Saudi Arabia</v>
          </cell>
          <cell r="T167" t="e">
            <v>#N/A</v>
          </cell>
          <cell r="U167" t="e">
            <v>#N/A</v>
          </cell>
          <cell r="W167">
            <v>49.3</v>
          </cell>
          <cell r="X167">
            <v>34.299999999999997</v>
          </cell>
          <cell r="Z167" t="e">
            <v>#N/A</v>
          </cell>
          <cell r="AA167" t="e">
            <v>#N/A</v>
          </cell>
        </row>
        <row r="168">
          <cell r="B168" t="str">
            <v>Senegal</v>
          </cell>
          <cell r="T168" t="e">
            <v>#N/A</v>
          </cell>
          <cell r="U168" t="e">
            <v>#N/A</v>
          </cell>
          <cell r="W168">
            <v>37.9</v>
          </cell>
          <cell r="X168">
            <v>25.4</v>
          </cell>
          <cell r="Z168" t="e">
            <v>#N/A</v>
          </cell>
          <cell r="AA168" t="e">
            <v>#N/A</v>
          </cell>
        </row>
        <row r="169">
          <cell r="B169" t="str">
            <v>Serbia</v>
          </cell>
          <cell r="T169" t="e">
            <v>#N/A</v>
          </cell>
          <cell r="U169" t="e">
            <v>#N/A</v>
          </cell>
          <cell r="W169">
            <v>52.3</v>
          </cell>
          <cell r="X169">
            <v>48.8</v>
          </cell>
          <cell r="Z169" t="e">
            <v>#N/A</v>
          </cell>
          <cell r="AA169" t="e">
            <v>#N/A</v>
          </cell>
        </row>
        <row r="170">
          <cell r="B170" t="str">
            <v>Seychelles</v>
          </cell>
          <cell r="T170" t="e">
            <v>#N/A</v>
          </cell>
          <cell r="U170" t="e">
            <v>#N/A</v>
          </cell>
          <cell r="W170">
            <v>31.9</v>
          </cell>
          <cell r="X170">
            <v>9.8000000000000007</v>
          </cell>
          <cell r="Z170" t="e">
            <v>#N/A</v>
          </cell>
          <cell r="AA170" t="e">
            <v>#N/A</v>
          </cell>
        </row>
        <row r="171">
          <cell r="B171" t="str">
            <v>Sierra Leone</v>
          </cell>
          <cell r="T171" t="e">
            <v>#N/A</v>
          </cell>
          <cell r="U171" t="e">
            <v>#N/A</v>
          </cell>
          <cell r="W171">
            <v>38.200000000000003</v>
          </cell>
          <cell r="X171">
            <v>25</v>
          </cell>
          <cell r="Z171" t="e">
            <v>#N/A</v>
          </cell>
          <cell r="AA171" t="e">
            <v>#N/A</v>
          </cell>
        </row>
        <row r="172">
          <cell r="B172" t="str">
            <v>Singapore</v>
          </cell>
          <cell r="T172" t="e">
            <v>#N/A</v>
          </cell>
          <cell r="U172" t="e">
            <v>#N/A</v>
          </cell>
          <cell r="W172">
            <v>58.7</v>
          </cell>
          <cell r="X172">
            <v>56.2</v>
          </cell>
          <cell r="Z172" t="e">
            <v>#N/A</v>
          </cell>
          <cell r="AA172" t="e">
            <v>#N/A</v>
          </cell>
        </row>
        <row r="173">
          <cell r="B173" t="str">
            <v>Slovakia</v>
          </cell>
          <cell r="T173" t="e">
            <v>#N/A</v>
          </cell>
          <cell r="U173" t="e">
            <v>#N/A</v>
          </cell>
          <cell r="W173">
            <v>47.9</v>
          </cell>
          <cell r="X173">
            <v>53.5</v>
          </cell>
          <cell r="Z173" t="e">
            <v>#N/A</v>
          </cell>
          <cell r="AA173" t="e">
            <v>#N/A</v>
          </cell>
        </row>
        <row r="174">
          <cell r="B174" t="str">
            <v>Slovenia</v>
          </cell>
          <cell r="T174" t="e">
            <v>#N/A</v>
          </cell>
          <cell r="U174" t="e">
            <v>#N/A</v>
          </cell>
          <cell r="W174">
            <v>67.2</v>
          </cell>
          <cell r="X174">
            <v>67</v>
          </cell>
          <cell r="Z174" t="e">
            <v>#N/A</v>
          </cell>
          <cell r="AA174" t="e">
            <v>#N/A</v>
          </cell>
        </row>
        <row r="175">
          <cell r="B175" t="str">
            <v>Solomon Islands</v>
          </cell>
          <cell r="T175" t="e">
            <v>#N/A</v>
          </cell>
          <cell r="U175" t="e">
            <v>#N/A</v>
          </cell>
          <cell r="W175">
            <v>20.7</v>
          </cell>
          <cell r="X175">
            <v>8.4</v>
          </cell>
          <cell r="Z175" t="e">
            <v>#N/A</v>
          </cell>
          <cell r="AA175" t="e">
            <v>#N/A</v>
          </cell>
        </row>
        <row r="176">
          <cell r="B176" t="str">
            <v>Somalia</v>
          </cell>
          <cell r="T176" t="e">
            <v>#N/A</v>
          </cell>
          <cell r="U176" t="e">
            <v>#N/A</v>
          </cell>
          <cell r="W176">
            <v>16.600000000000001</v>
          </cell>
          <cell r="X176">
            <v>15.8</v>
          </cell>
          <cell r="Z176" t="e">
            <v>#N/A</v>
          </cell>
          <cell r="AA176" t="e">
            <v>#N/A</v>
          </cell>
        </row>
        <row r="177">
          <cell r="B177" t="str">
            <v>South Africa</v>
          </cell>
          <cell r="T177" t="e">
            <v>#N/A</v>
          </cell>
          <cell r="U177" t="e">
            <v>#N/A</v>
          </cell>
          <cell r="W177">
            <v>54.8</v>
          </cell>
          <cell r="X177">
            <v>44.8</v>
          </cell>
          <cell r="Z177" t="e">
            <v>#N/A</v>
          </cell>
          <cell r="AA177" t="e">
            <v>#N/A</v>
          </cell>
        </row>
        <row r="178">
          <cell r="B178" t="str">
            <v>South Korea</v>
          </cell>
          <cell r="T178" t="e">
            <v>#N/A</v>
          </cell>
          <cell r="U178" t="e">
            <v>#N/A</v>
          </cell>
          <cell r="W178">
            <v>70.2</v>
          </cell>
          <cell r="X178">
            <v>57.3</v>
          </cell>
          <cell r="Z178" t="e">
            <v>#N/A</v>
          </cell>
          <cell r="AA178" t="e">
            <v>#N/A</v>
          </cell>
        </row>
        <row r="179">
          <cell r="B179" t="str">
            <v>South Sudan</v>
          </cell>
          <cell r="T179" t="e">
            <v>#N/A</v>
          </cell>
          <cell r="U179" t="e">
            <v>#N/A</v>
          </cell>
          <cell r="W179">
            <v>21.7</v>
          </cell>
          <cell r="X179">
            <v>22.6</v>
          </cell>
          <cell r="Z179" t="e">
            <v>#N/A</v>
          </cell>
          <cell r="AA179" t="e">
            <v>#N/A</v>
          </cell>
        </row>
        <row r="180">
          <cell r="B180" t="str">
            <v>Spain</v>
          </cell>
          <cell r="T180" t="e">
            <v>#N/A</v>
          </cell>
          <cell r="U180" t="e">
            <v>#N/A</v>
          </cell>
          <cell r="W180">
            <v>65.900000000000006</v>
          </cell>
          <cell r="X180">
            <v>52.9</v>
          </cell>
          <cell r="Z180" t="e">
            <v>#N/A</v>
          </cell>
          <cell r="AA180" t="e">
            <v>#N/A</v>
          </cell>
        </row>
        <row r="181">
          <cell r="B181" t="str">
            <v>Sri Lanka</v>
          </cell>
          <cell r="T181" t="e">
            <v>#N/A</v>
          </cell>
          <cell r="U181" t="e">
            <v>#N/A</v>
          </cell>
          <cell r="W181">
            <v>33.9</v>
          </cell>
          <cell r="X181">
            <v>24.2</v>
          </cell>
          <cell r="Z181" t="e">
            <v>#N/A</v>
          </cell>
          <cell r="AA181" t="e">
            <v>#N/A</v>
          </cell>
        </row>
        <row r="182">
          <cell r="B182" t="str">
            <v>St Kitts and Nevis</v>
          </cell>
          <cell r="T182" t="e">
            <v>#N/A</v>
          </cell>
          <cell r="U182" t="e">
            <v>#N/A</v>
          </cell>
          <cell r="W182">
            <v>26.2</v>
          </cell>
          <cell r="X182">
            <v>8.6999999999999993</v>
          </cell>
          <cell r="Z182">
            <v>26.2</v>
          </cell>
          <cell r="AA182">
            <v>8.6999999999999993</v>
          </cell>
        </row>
        <row r="183">
          <cell r="B183" t="str">
            <v>St Lucia</v>
          </cell>
          <cell r="T183" t="e">
            <v>#N/A</v>
          </cell>
          <cell r="U183" t="e">
            <v>#N/A</v>
          </cell>
          <cell r="W183">
            <v>35.299999999999997</v>
          </cell>
          <cell r="X183">
            <v>22.8</v>
          </cell>
          <cell r="Z183">
            <v>35.299999999999997</v>
          </cell>
          <cell r="AA183">
            <v>22.8</v>
          </cell>
        </row>
        <row r="184">
          <cell r="B184" t="str">
            <v>St Vincent and The Grenadines</v>
          </cell>
          <cell r="T184" t="e">
            <v>#N/A</v>
          </cell>
          <cell r="U184" t="e">
            <v>#N/A</v>
          </cell>
          <cell r="W184">
            <v>33</v>
          </cell>
          <cell r="X184">
            <v>20</v>
          </cell>
          <cell r="Z184">
            <v>33</v>
          </cell>
          <cell r="AA184">
            <v>20</v>
          </cell>
        </row>
        <row r="185">
          <cell r="B185" t="str">
            <v>Sudan</v>
          </cell>
          <cell r="T185" t="e">
            <v>#N/A</v>
          </cell>
          <cell r="U185" t="e">
            <v>#N/A</v>
          </cell>
          <cell r="W185">
            <v>26.2</v>
          </cell>
          <cell r="X185">
            <v>31.8</v>
          </cell>
          <cell r="Z185" t="e">
            <v>#N/A</v>
          </cell>
          <cell r="AA185" t="e">
            <v>#N/A</v>
          </cell>
        </row>
        <row r="186">
          <cell r="B186" t="str">
            <v>Suriname</v>
          </cell>
          <cell r="T186" t="e">
            <v>#N/A</v>
          </cell>
          <cell r="U186" t="e">
            <v>#N/A</v>
          </cell>
          <cell r="W186">
            <v>36.5</v>
          </cell>
          <cell r="X186">
            <v>23.3</v>
          </cell>
          <cell r="Z186">
            <v>36.5</v>
          </cell>
          <cell r="AA186">
            <v>23.3</v>
          </cell>
        </row>
        <row r="187">
          <cell r="B187" t="str">
            <v>Sweden</v>
          </cell>
          <cell r="T187" t="e">
            <v>#N/A</v>
          </cell>
          <cell r="U187" t="e">
            <v>#N/A</v>
          </cell>
          <cell r="W187">
            <v>72.099999999999994</v>
          </cell>
          <cell r="X187">
            <v>81.099999999999994</v>
          </cell>
          <cell r="Z187" t="e">
            <v>#N/A</v>
          </cell>
          <cell r="AA187" t="e">
            <v>#N/A</v>
          </cell>
        </row>
        <row r="188">
          <cell r="B188" t="str">
            <v>Switzerland</v>
          </cell>
          <cell r="T188" t="e">
            <v>#N/A</v>
          </cell>
          <cell r="U188" t="e">
            <v>#N/A</v>
          </cell>
          <cell r="W188">
            <v>67</v>
          </cell>
          <cell r="X188">
            <v>52.7</v>
          </cell>
          <cell r="Z188" t="e">
            <v>#N/A</v>
          </cell>
          <cell r="AA188" t="e">
            <v>#N/A</v>
          </cell>
        </row>
        <row r="189">
          <cell r="B189" t="str">
            <v>Syria</v>
          </cell>
          <cell r="T189" t="e">
            <v>#N/A</v>
          </cell>
          <cell r="U189" t="e">
            <v>#N/A</v>
          </cell>
          <cell r="W189">
            <v>19.899999999999999</v>
          </cell>
          <cell r="X189">
            <v>18.399999999999999</v>
          </cell>
          <cell r="Z189" t="e">
            <v>#N/A</v>
          </cell>
          <cell r="AA189" t="e">
            <v>#N/A</v>
          </cell>
        </row>
        <row r="190">
          <cell r="B190" t="str">
            <v>Tajikistan</v>
          </cell>
          <cell r="T190" t="e">
            <v>#N/A</v>
          </cell>
          <cell r="U190" t="e">
            <v>#N/A</v>
          </cell>
          <cell r="W190">
            <v>32.299999999999997</v>
          </cell>
          <cell r="X190">
            <v>26.7</v>
          </cell>
          <cell r="Z190" t="e">
            <v>#N/A</v>
          </cell>
          <cell r="AA190" t="e">
            <v>#N/A</v>
          </cell>
        </row>
        <row r="191">
          <cell r="B191" t="str">
            <v>Tanzania</v>
          </cell>
          <cell r="T191" t="e">
            <v>#N/A</v>
          </cell>
          <cell r="U191" t="e">
            <v>#N/A</v>
          </cell>
          <cell r="W191">
            <v>36.4</v>
          </cell>
          <cell r="X191">
            <v>33.5</v>
          </cell>
          <cell r="Z191" t="e">
            <v>#N/A</v>
          </cell>
          <cell r="AA191" t="e">
            <v>#N/A</v>
          </cell>
        </row>
        <row r="192">
          <cell r="B192" t="str">
            <v>Thailand</v>
          </cell>
          <cell r="T192" t="e">
            <v>#N/A</v>
          </cell>
          <cell r="U192" t="e">
            <v>#N/A</v>
          </cell>
          <cell r="W192">
            <v>73.2</v>
          </cell>
          <cell r="X192">
            <v>75.7</v>
          </cell>
          <cell r="Z192" t="e">
            <v>#N/A</v>
          </cell>
          <cell r="AA192" t="e">
            <v>#N/A</v>
          </cell>
        </row>
        <row r="193">
          <cell r="B193" t="str">
            <v>Timor-Leste</v>
          </cell>
          <cell r="T193" t="e">
            <v>#N/A</v>
          </cell>
          <cell r="U193" t="e">
            <v>#N/A</v>
          </cell>
          <cell r="W193">
            <v>26</v>
          </cell>
          <cell r="X193">
            <v>18.2</v>
          </cell>
          <cell r="Z193" t="e">
            <v>#N/A</v>
          </cell>
          <cell r="AA193" t="e">
            <v>#N/A</v>
          </cell>
        </row>
        <row r="194">
          <cell r="B194" t="str">
            <v>Togo</v>
          </cell>
          <cell r="T194" t="e">
            <v>#N/A</v>
          </cell>
          <cell r="U194" t="e">
            <v>#N/A</v>
          </cell>
          <cell r="W194">
            <v>32.5</v>
          </cell>
          <cell r="X194">
            <v>23.7</v>
          </cell>
          <cell r="Z194" t="e">
            <v>#N/A</v>
          </cell>
          <cell r="AA194" t="e">
            <v>#N/A</v>
          </cell>
        </row>
        <row r="195">
          <cell r="B195" t="str">
            <v>Tonga</v>
          </cell>
          <cell r="T195" t="e">
            <v>#N/A</v>
          </cell>
          <cell r="U195" t="e">
            <v>#N/A</v>
          </cell>
          <cell r="W195">
            <v>25.1</v>
          </cell>
          <cell r="X195">
            <v>19.8</v>
          </cell>
          <cell r="Z195" t="e">
            <v>#N/A</v>
          </cell>
          <cell r="AA195" t="e">
            <v>#N/A</v>
          </cell>
        </row>
        <row r="196">
          <cell r="B196" t="str">
            <v>Trinidad and Tobago</v>
          </cell>
          <cell r="T196" t="e">
            <v>#N/A</v>
          </cell>
          <cell r="U196" t="e">
            <v>#N/A</v>
          </cell>
          <cell r="W196">
            <v>36.6</v>
          </cell>
          <cell r="X196">
            <v>28.1</v>
          </cell>
          <cell r="Z196">
            <v>36.6</v>
          </cell>
          <cell r="AA196">
            <v>28.1</v>
          </cell>
        </row>
        <row r="197">
          <cell r="B197" t="str">
            <v>Tunisia</v>
          </cell>
          <cell r="T197" t="e">
            <v>#N/A</v>
          </cell>
          <cell r="U197" t="e">
            <v>#N/A</v>
          </cell>
          <cell r="W197">
            <v>33.700000000000003</v>
          </cell>
          <cell r="X197">
            <v>31.7</v>
          </cell>
          <cell r="Z197" t="e">
            <v>#N/A</v>
          </cell>
          <cell r="AA197" t="e">
            <v>#N/A</v>
          </cell>
        </row>
        <row r="198">
          <cell r="B198" t="str">
            <v>Turkey</v>
          </cell>
          <cell r="T198" t="e">
            <v>#N/A</v>
          </cell>
          <cell r="U198" t="e">
            <v>#N/A</v>
          </cell>
          <cell r="W198">
            <v>52.4</v>
          </cell>
          <cell r="X198">
            <v>56.9</v>
          </cell>
          <cell r="Z198" t="e">
            <v>#N/A</v>
          </cell>
          <cell r="AA198" t="e">
            <v>#N/A</v>
          </cell>
        </row>
        <row r="199">
          <cell r="B199" t="str">
            <v>Turkmenistan</v>
          </cell>
          <cell r="T199" t="e">
            <v>#N/A</v>
          </cell>
          <cell r="U199" t="e">
            <v>#N/A</v>
          </cell>
          <cell r="W199">
            <v>31.8</v>
          </cell>
          <cell r="X199">
            <v>31</v>
          </cell>
          <cell r="Z199" t="e">
            <v>#N/A</v>
          </cell>
          <cell r="AA199" t="e">
            <v>#N/A</v>
          </cell>
        </row>
        <row r="200">
          <cell r="B200" t="str">
            <v>Tuvalu</v>
          </cell>
          <cell r="T200" t="e">
            <v>#N/A</v>
          </cell>
          <cell r="U200" t="e">
            <v>#N/A</v>
          </cell>
          <cell r="W200">
            <v>21.6</v>
          </cell>
          <cell r="X200">
            <v>13.1</v>
          </cell>
          <cell r="Z200" t="e">
            <v>#N/A</v>
          </cell>
          <cell r="AA200" t="e">
            <v>#N/A</v>
          </cell>
        </row>
        <row r="201">
          <cell r="B201" t="str">
            <v>Uganda</v>
          </cell>
          <cell r="T201" t="e">
            <v>#N/A</v>
          </cell>
          <cell r="U201" t="e">
            <v>#N/A</v>
          </cell>
          <cell r="W201">
            <v>44.3</v>
          </cell>
          <cell r="X201">
            <v>42.7</v>
          </cell>
          <cell r="Z201" t="e">
            <v>#N/A</v>
          </cell>
          <cell r="AA201" t="e">
            <v>#N/A</v>
          </cell>
        </row>
        <row r="202">
          <cell r="B202" t="str">
            <v>Ukraine</v>
          </cell>
          <cell r="T202" t="e">
            <v>#N/A</v>
          </cell>
          <cell r="U202" t="e">
            <v>#N/A</v>
          </cell>
          <cell r="W202">
            <v>38</v>
          </cell>
          <cell r="X202">
            <v>38.1</v>
          </cell>
          <cell r="Z202" t="e">
            <v>#N/A</v>
          </cell>
          <cell r="AA202" t="e">
            <v>#N/A</v>
          </cell>
        </row>
        <row r="203">
          <cell r="B203" t="str">
            <v>United Arab Emirates</v>
          </cell>
          <cell r="T203" t="e">
            <v>#N/A</v>
          </cell>
          <cell r="U203" t="e">
            <v>#N/A</v>
          </cell>
          <cell r="W203">
            <v>46.7</v>
          </cell>
          <cell r="X203">
            <v>49.3</v>
          </cell>
          <cell r="Z203" t="e">
            <v>#N/A</v>
          </cell>
          <cell r="AA203" t="e">
            <v>#N/A</v>
          </cell>
        </row>
        <row r="204">
          <cell r="B204" t="str">
            <v>United Kingdom</v>
          </cell>
          <cell r="T204" t="e">
            <v>#N/A</v>
          </cell>
          <cell r="U204" t="e">
            <v>#N/A</v>
          </cell>
          <cell r="W204">
            <v>77.900000000000006</v>
          </cell>
          <cell r="X204">
            <v>68.3</v>
          </cell>
          <cell r="Z204" t="e">
            <v>#N/A</v>
          </cell>
          <cell r="AA204" t="e">
            <v>#N/A</v>
          </cell>
        </row>
        <row r="205">
          <cell r="B205" t="str">
            <v>United States</v>
          </cell>
          <cell r="T205" t="e">
            <v>#N/A</v>
          </cell>
          <cell r="U205" t="e">
            <v>#N/A</v>
          </cell>
          <cell r="W205">
            <v>83.5</v>
          </cell>
          <cell r="X205">
            <v>83.1</v>
          </cell>
          <cell r="Z205" t="e">
            <v>#N/A</v>
          </cell>
          <cell r="AA205" t="e">
            <v>#N/A</v>
          </cell>
        </row>
        <row r="206">
          <cell r="B206" t="str">
            <v>Uruguay</v>
          </cell>
          <cell r="T206" t="e">
            <v>#N/A</v>
          </cell>
          <cell r="U206" t="e">
            <v>#N/A</v>
          </cell>
          <cell r="W206">
            <v>41.3</v>
          </cell>
          <cell r="X206">
            <v>44</v>
          </cell>
          <cell r="Z206">
            <v>41.3</v>
          </cell>
          <cell r="AA206">
            <v>44</v>
          </cell>
        </row>
        <row r="207">
          <cell r="B207" t="str">
            <v>Uzbekistan</v>
          </cell>
          <cell r="T207" t="e">
            <v>#N/A</v>
          </cell>
          <cell r="U207" t="e">
            <v>#N/A</v>
          </cell>
          <cell r="W207">
            <v>34.299999999999997</v>
          </cell>
          <cell r="X207">
            <v>42.6</v>
          </cell>
          <cell r="Z207" t="e">
            <v>#N/A</v>
          </cell>
          <cell r="AA207" t="e">
            <v>#N/A</v>
          </cell>
        </row>
        <row r="208">
          <cell r="B208" t="str">
            <v>Vanuatu</v>
          </cell>
          <cell r="T208" t="e">
            <v>#N/A</v>
          </cell>
          <cell r="U208" t="e">
            <v>#N/A</v>
          </cell>
          <cell r="W208">
            <v>26.1</v>
          </cell>
          <cell r="X208">
            <v>24.5</v>
          </cell>
          <cell r="Z208" t="e">
            <v>#N/A</v>
          </cell>
          <cell r="AA208" t="e">
            <v>#N/A</v>
          </cell>
        </row>
        <row r="209">
          <cell r="B209" t="str">
            <v>Venezuela</v>
          </cell>
          <cell r="T209" t="e">
            <v>#N/A</v>
          </cell>
          <cell r="U209" t="e">
            <v>#N/A</v>
          </cell>
          <cell r="W209">
            <v>23</v>
          </cell>
          <cell r="X209">
            <v>23.5</v>
          </cell>
          <cell r="Z209">
            <v>23</v>
          </cell>
          <cell r="AA209">
            <v>23.5</v>
          </cell>
        </row>
        <row r="210">
          <cell r="B210" t="str">
            <v>Vietnam</v>
          </cell>
          <cell r="T210" t="e">
            <v>#N/A</v>
          </cell>
          <cell r="U210" t="e">
            <v>#N/A</v>
          </cell>
          <cell r="W210">
            <v>49.1</v>
          </cell>
          <cell r="X210">
            <v>49.5</v>
          </cell>
          <cell r="Z210" t="e">
            <v>#N/A</v>
          </cell>
          <cell r="AA210" t="e">
            <v>#N/A</v>
          </cell>
        </row>
        <row r="211">
          <cell r="B211" t="str">
            <v>Yemen</v>
          </cell>
          <cell r="T211" t="e">
            <v>#N/A</v>
          </cell>
          <cell r="U211" t="e">
            <v>#N/A</v>
          </cell>
          <cell r="W211">
            <v>18.5</v>
          </cell>
          <cell r="X211">
            <v>15.1</v>
          </cell>
          <cell r="Z211" t="e">
            <v>#N/A</v>
          </cell>
          <cell r="AA211" t="e">
            <v>#N/A</v>
          </cell>
        </row>
        <row r="212">
          <cell r="B212" t="str">
            <v>Zambia</v>
          </cell>
          <cell r="T212" t="e">
            <v>#N/A</v>
          </cell>
          <cell r="U212" t="e">
            <v>#N/A</v>
          </cell>
          <cell r="W212">
            <v>28.7</v>
          </cell>
          <cell r="X212">
            <v>24.5</v>
          </cell>
          <cell r="Z212" t="e">
            <v>#N/A</v>
          </cell>
          <cell r="AA212" t="e">
            <v>#N/A</v>
          </cell>
        </row>
        <row r="213">
          <cell r="B213" t="str">
            <v>Zimbabwe</v>
          </cell>
          <cell r="T213" t="e">
            <v>#N/A</v>
          </cell>
          <cell r="U213" t="e">
            <v>#N/A</v>
          </cell>
          <cell r="W213">
            <v>38.200000000000003</v>
          </cell>
          <cell r="X213">
            <v>31.4</v>
          </cell>
          <cell r="Z213" t="e">
            <v>#N/A</v>
          </cell>
          <cell r="AA213" t="e">
            <v>#N/A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urworldindata.org/covid-case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cepalstat-prod.cepal.org/forms/covid-countrysheet/index.html?country=URY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83E69-D08C-46B9-8FFB-1C6BD174C941}">
  <sheetPr codeName="Planilha1"/>
  <dimension ref="D3:H7"/>
  <sheetViews>
    <sheetView workbookViewId="0">
      <selection activeCell="D19" sqref="D19"/>
    </sheetView>
  </sheetViews>
  <sheetFormatPr defaultRowHeight="15"/>
  <cols>
    <col min="4" max="4" width="22" bestFit="1" customWidth="1"/>
    <col min="5" max="7" width="11.5703125" bestFit="1" customWidth="1"/>
    <col min="8" max="8" width="19.140625" bestFit="1" customWidth="1"/>
  </cols>
  <sheetData>
    <row r="3" spans="4:8">
      <c r="D3" t="s">
        <v>33</v>
      </c>
      <c r="E3" t="s">
        <v>34</v>
      </c>
    </row>
    <row r="4" spans="4:8">
      <c r="D4" t="s">
        <v>35</v>
      </c>
      <c r="E4" t="s">
        <v>36</v>
      </c>
      <c r="F4" t="s">
        <v>37</v>
      </c>
      <c r="G4" t="s">
        <v>38</v>
      </c>
      <c r="H4" t="s">
        <v>39</v>
      </c>
    </row>
    <row r="5" spans="4:8">
      <c r="D5" t="s">
        <v>40</v>
      </c>
      <c r="E5" s="5">
        <v>54.716666666666661</v>
      </c>
      <c r="F5" s="5">
        <v>33.949999999999996</v>
      </c>
      <c r="G5" s="5">
        <v>33.574074074074069</v>
      </c>
      <c r="H5" s="5">
        <v>54.17307692307692</v>
      </c>
    </row>
    <row r="6" spans="4:8">
      <c r="D6" t="s">
        <v>41</v>
      </c>
      <c r="E6" s="5">
        <v>58.995169082125621</v>
      </c>
      <c r="F6" s="5">
        <v>22.132723112128151</v>
      </c>
      <c r="G6" s="5">
        <v>58.69330199764984</v>
      </c>
      <c r="H6" s="5">
        <v>45.972826086956516</v>
      </c>
    </row>
    <row r="7" spans="4:8">
      <c r="D7" t="s">
        <v>42</v>
      </c>
      <c r="E7" s="4">
        <v>64.486664230909739</v>
      </c>
      <c r="F7" s="4">
        <v>28.717573986116189</v>
      </c>
      <c r="G7" s="4">
        <v>31.201387723126842</v>
      </c>
      <c r="H7" s="4">
        <v>53.256888039496737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4C74F-53B5-4418-9C2E-02ED2F2AE441}">
  <sheetPr codeName="Planilha3"/>
  <dimension ref="A2:H53"/>
  <sheetViews>
    <sheetView showGridLines="0" topLeftCell="A34" zoomScale="130" zoomScaleNormal="130" workbookViewId="0">
      <selection activeCell="A52" sqref="A36:O52"/>
    </sheetView>
  </sheetViews>
  <sheetFormatPr defaultRowHeight="15"/>
  <cols>
    <col min="14" max="14" width="3.7109375" customWidth="1"/>
    <col min="15" max="15" width="5.5703125" customWidth="1"/>
  </cols>
  <sheetData>
    <row r="2" spans="1:8">
      <c r="A2" s="22" t="s">
        <v>97</v>
      </c>
      <c r="H2" s="22" t="s">
        <v>96</v>
      </c>
    </row>
    <row r="16" spans="1:8" ht="7.9" customHeight="1"/>
    <row r="17" spans="1:8" ht="20.45" customHeight="1">
      <c r="A17" s="23" t="s">
        <v>106</v>
      </c>
      <c r="H17" s="23" t="s">
        <v>105</v>
      </c>
    </row>
    <row r="18" spans="1:8">
      <c r="A18" s="22" t="s">
        <v>100</v>
      </c>
      <c r="H18" s="22" t="s">
        <v>110</v>
      </c>
    </row>
    <row r="34" spans="1:8" ht="17.45" customHeight="1">
      <c r="A34" s="23" t="s">
        <v>107</v>
      </c>
      <c r="H34" s="23" t="s">
        <v>111</v>
      </c>
    </row>
    <row r="35" spans="1:8" ht="29.45" customHeight="1"/>
    <row r="36" spans="1:8" ht="19.149999999999999" customHeight="1"/>
    <row r="52" spans="1:1">
      <c r="A52" s="23" t="s">
        <v>118</v>
      </c>
    </row>
    <row r="53" spans="1:1" ht="17.45" customHeight="1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C36F9-7C3E-4A1A-A69B-CF621BF0F6D1}">
  <sheetPr codeName="Planilha2"/>
  <dimension ref="A1:I246"/>
  <sheetViews>
    <sheetView topLeftCell="A172" workbookViewId="0">
      <selection activeCell="C192" sqref="C192"/>
    </sheetView>
  </sheetViews>
  <sheetFormatPr defaultRowHeight="15"/>
  <cols>
    <col min="3" max="3" width="15.7109375" bestFit="1" customWidth="1"/>
  </cols>
  <sheetData>
    <row r="1" spans="2:4">
      <c r="C1" t="s">
        <v>65</v>
      </c>
      <c r="D1" s="13" t="s">
        <v>66</v>
      </c>
    </row>
    <row r="2" spans="2:4">
      <c r="B2" s="14" t="s">
        <v>63</v>
      </c>
      <c r="C2" s="14" t="s">
        <v>64</v>
      </c>
      <c r="D2" s="15" t="s">
        <v>67</v>
      </c>
    </row>
    <row r="3" spans="2:4">
      <c r="B3" s="12" t="s">
        <v>1</v>
      </c>
      <c r="C3" s="16">
        <v>52.75</v>
      </c>
      <c r="D3">
        <v>197.34</v>
      </c>
    </row>
    <row r="4" spans="2:4">
      <c r="B4" s="12" t="s">
        <v>45</v>
      </c>
      <c r="C4" s="16">
        <v>19.399999999999999</v>
      </c>
      <c r="D4">
        <v>127.15</v>
      </c>
    </row>
    <row r="5" spans="2:4">
      <c r="B5" s="12" t="s">
        <v>46</v>
      </c>
      <c r="C5" s="16">
        <v>17.850000000000001</v>
      </c>
      <c r="D5">
        <v>24.36</v>
      </c>
    </row>
    <row r="6" spans="2:4">
      <c r="B6" s="12" t="s">
        <v>47</v>
      </c>
      <c r="C6" s="16">
        <v>17.600000000000001</v>
      </c>
      <c r="D6">
        <v>32.69</v>
      </c>
    </row>
    <row r="7" spans="2:4">
      <c r="B7" s="12" t="s">
        <v>3</v>
      </c>
      <c r="C7" s="16">
        <v>22.05</v>
      </c>
      <c r="D7">
        <v>436.99</v>
      </c>
    </row>
    <row r="8" spans="2:4">
      <c r="B8" s="12" t="s">
        <v>6</v>
      </c>
      <c r="C8" s="16">
        <v>56.05</v>
      </c>
      <c r="D8">
        <v>576.76</v>
      </c>
    </row>
    <row r="9" spans="2:4">
      <c r="B9" s="12" t="s">
        <v>7</v>
      </c>
      <c r="C9" s="16">
        <v>49.75</v>
      </c>
      <c r="D9">
        <v>592.22</v>
      </c>
    </row>
    <row r="10" spans="2:4">
      <c r="B10" s="12" t="s">
        <v>2</v>
      </c>
      <c r="C10" s="16">
        <v>38.9</v>
      </c>
      <c r="D10">
        <v>394.04</v>
      </c>
    </row>
    <row r="11" spans="2:4">
      <c r="B11" s="12" t="s">
        <v>48</v>
      </c>
      <c r="C11" s="16">
        <v>30.700000000000003</v>
      </c>
      <c r="D11">
        <v>86.96</v>
      </c>
    </row>
    <row r="12" spans="2:4">
      <c r="B12" s="12" t="s">
        <v>49</v>
      </c>
      <c r="C12" s="16">
        <v>31.65</v>
      </c>
      <c r="D12">
        <v>8.39</v>
      </c>
    </row>
    <row r="13" spans="2:4">
      <c r="B13" s="12" t="s">
        <v>50</v>
      </c>
      <c r="C13" s="16">
        <v>31.7</v>
      </c>
      <c r="D13">
        <v>160.22</v>
      </c>
    </row>
    <row r="14" spans="2:4">
      <c r="B14" s="12" t="s">
        <v>5</v>
      </c>
      <c r="C14" s="16">
        <v>37.35</v>
      </c>
      <c r="D14">
        <v>372.44</v>
      </c>
    </row>
    <row r="15" spans="2:4">
      <c r="B15" s="12" t="s">
        <v>51</v>
      </c>
      <c r="C15" s="16">
        <v>33.65</v>
      </c>
      <c r="D15">
        <v>111.62</v>
      </c>
    </row>
    <row r="16" spans="2:4">
      <c r="B16" s="12" t="s">
        <v>52</v>
      </c>
      <c r="C16" s="16">
        <v>18.2</v>
      </c>
      <c r="D16">
        <v>155.06</v>
      </c>
    </row>
    <row r="17" spans="2:4">
      <c r="B17" s="12" t="s">
        <v>53</v>
      </c>
      <c r="C17" s="16">
        <v>24.25</v>
      </c>
      <c r="D17">
        <v>52.13</v>
      </c>
    </row>
    <row r="18" spans="2:4">
      <c r="B18" s="12" t="s">
        <v>54</v>
      </c>
      <c r="C18" s="16">
        <v>15.850000000000001</v>
      </c>
      <c r="D18">
        <v>17.63</v>
      </c>
    </row>
    <row r="19" spans="2:4">
      <c r="B19" s="12" t="s">
        <v>55</v>
      </c>
      <c r="C19" s="16">
        <v>19.25</v>
      </c>
      <c r="D19">
        <v>190.62</v>
      </c>
    </row>
    <row r="20" spans="2:4">
      <c r="B20" s="12" t="s">
        <v>56</v>
      </c>
      <c r="C20" s="16">
        <v>17.350000000000001</v>
      </c>
      <c r="D20">
        <v>7.09</v>
      </c>
    </row>
    <row r="21" spans="2:4">
      <c r="B21" s="12" t="s">
        <v>4</v>
      </c>
      <c r="C21" s="16">
        <v>48.849999999999994</v>
      </c>
      <c r="D21">
        <v>506.01</v>
      </c>
    </row>
    <row r="22" spans="2:4">
      <c r="B22" s="12" t="s">
        <v>57</v>
      </c>
      <c r="C22" s="16">
        <v>42.55</v>
      </c>
      <c r="D22">
        <v>21.28</v>
      </c>
    </row>
    <row r="23" spans="2:4">
      <c r="B23" s="12" t="s">
        <v>58</v>
      </c>
      <c r="C23" s="16">
        <v>40.75</v>
      </c>
      <c r="D23">
        <v>467.7</v>
      </c>
    </row>
    <row r="24" spans="2:4">
      <c r="B24" s="12" t="s">
        <v>59</v>
      </c>
      <c r="C24" s="16">
        <v>27.5</v>
      </c>
      <c r="D24">
        <v>48.79</v>
      </c>
    </row>
    <row r="25" spans="2:4">
      <c r="B25" s="12" t="s">
        <v>8</v>
      </c>
      <c r="C25" s="16">
        <v>48.35</v>
      </c>
      <c r="D25">
        <v>877.84</v>
      </c>
    </row>
    <row r="26" spans="2:4">
      <c r="B26" s="12" t="s">
        <v>60</v>
      </c>
      <c r="C26" s="16">
        <v>31.9</v>
      </c>
      <c r="D26">
        <v>122.73</v>
      </c>
    </row>
    <row r="27" spans="2:4">
      <c r="B27" s="12" t="s">
        <v>61</v>
      </c>
      <c r="C27" s="16">
        <v>33.450000000000003</v>
      </c>
      <c r="D27">
        <v>19.29</v>
      </c>
    </row>
    <row r="28" spans="2:4">
      <c r="B28" s="12" t="s">
        <v>0</v>
      </c>
      <c r="C28" s="16">
        <v>32.700000000000003</v>
      </c>
      <c r="D28">
        <v>12.67</v>
      </c>
    </row>
    <row r="29" spans="2:4">
      <c r="B29" s="12" t="s">
        <v>62</v>
      </c>
      <c r="C29" s="16">
        <v>16.3</v>
      </c>
      <c r="D29">
        <v>13.75</v>
      </c>
    </row>
    <row r="31" spans="2:4">
      <c r="B31" t="s">
        <v>63</v>
      </c>
      <c r="C31" t="s">
        <v>68</v>
      </c>
      <c r="D31" s="15" t="s">
        <v>67</v>
      </c>
    </row>
    <row r="32" spans="2:4">
      <c r="B32" s="12" t="s">
        <v>1</v>
      </c>
      <c r="C32">
        <v>0.9</v>
      </c>
      <c r="D32">
        <v>197.34</v>
      </c>
    </row>
    <row r="33" spans="2:4">
      <c r="B33" s="12" t="s">
        <v>45</v>
      </c>
      <c r="C33">
        <v>2.5</v>
      </c>
      <c r="D33">
        <v>127.15</v>
      </c>
    </row>
    <row r="34" spans="2:4">
      <c r="B34" s="12" t="s">
        <v>46</v>
      </c>
      <c r="C34">
        <v>3.5</v>
      </c>
      <c r="D34">
        <v>24.36</v>
      </c>
    </row>
    <row r="35" spans="2:4">
      <c r="B35" s="12" t="s">
        <v>3</v>
      </c>
      <c r="C35">
        <v>1.9</v>
      </c>
      <c r="D35">
        <v>436.99</v>
      </c>
    </row>
    <row r="36" spans="2:4">
      <c r="B36" s="12" t="s">
        <v>6</v>
      </c>
      <c r="C36">
        <v>2</v>
      </c>
      <c r="D36">
        <v>576.76</v>
      </c>
    </row>
    <row r="37" spans="2:4">
      <c r="B37" s="12" t="s">
        <v>7</v>
      </c>
      <c r="C37">
        <v>4.5</v>
      </c>
      <c r="D37">
        <v>592.22</v>
      </c>
    </row>
    <row r="38" spans="2:4">
      <c r="B38" s="12" t="s">
        <v>2</v>
      </c>
      <c r="C38">
        <v>2.8</v>
      </c>
      <c r="D38">
        <v>394.04</v>
      </c>
    </row>
    <row r="39" spans="2:4">
      <c r="B39" s="12" t="s">
        <v>48</v>
      </c>
      <c r="C39">
        <v>0.8</v>
      </c>
      <c r="D39">
        <v>86.96</v>
      </c>
    </row>
    <row r="40" spans="2:4">
      <c r="B40" s="12" t="s">
        <v>50</v>
      </c>
      <c r="C40">
        <v>1.7</v>
      </c>
      <c r="D40">
        <v>160.22</v>
      </c>
    </row>
    <row r="41" spans="2:4">
      <c r="B41" s="12" t="s">
        <v>5</v>
      </c>
      <c r="C41">
        <v>2.5</v>
      </c>
      <c r="D41">
        <v>372.44</v>
      </c>
    </row>
    <row r="42" spans="2:4">
      <c r="B42" s="12" t="s">
        <v>51</v>
      </c>
      <c r="C42">
        <v>2.5</v>
      </c>
      <c r="D42">
        <v>111.62</v>
      </c>
    </row>
    <row r="43" spans="2:4">
      <c r="B43" s="12" t="s">
        <v>52</v>
      </c>
      <c r="C43">
        <v>1.1000000000000001</v>
      </c>
      <c r="D43">
        <v>155.06</v>
      </c>
    </row>
    <row r="44" spans="2:4">
      <c r="B44" s="12" t="s">
        <v>53</v>
      </c>
      <c r="C44">
        <v>3.5</v>
      </c>
      <c r="D44">
        <v>52.13</v>
      </c>
    </row>
    <row r="45" spans="2:4">
      <c r="B45" s="12" t="s">
        <v>55</v>
      </c>
      <c r="C45">
        <v>2.8</v>
      </c>
      <c r="D45">
        <v>190.62</v>
      </c>
    </row>
    <row r="46" spans="2:4">
      <c r="B46" s="12" t="s">
        <v>56</v>
      </c>
      <c r="C46">
        <v>3.6</v>
      </c>
      <c r="D46">
        <v>7.09</v>
      </c>
    </row>
    <row r="47" spans="2:4">
      <c r="B47" s="12" t="s">
        <v>4</v>
      </c>
      <c r="C47">
        <v>1.1000000000000001</v>
      </c>
      <c r="D47">
        <v>506.01</v>
      </c>
    </row>
    <row r="48" spans="2:4">
      <c r="B48" s="12" t="s">
        <v>57</v>
      </c>
      <c r="C48">
        <v>3.4</v>
      </c>
      <c r="D48">
        <v>21.28</v>
      </c>
    </row>
    <row r="49" spans="2:5">
      <c r="B49" s="12" t="s">
        <v>58</v>
      </c>
      <c r="C49">
        <v>1.7</v>
      </c>
      <c r="D49">
        <v>467.7</v>
      </c>
    </row>
    <row r="50" spans="2:5">
      <c r="B50" s="12" t="s">
        <v>59</v>
      </c>
      <c r="C50">
        <v>1.9</v>
      </c>
      <c r="D50">
        <v>48.79</v>
      </c>
    </row>
    <row r="51" spans="2:5">
      <c r="B51" s="12" t="s">
        <v>0</v>
      </c>
      <c r="C51">
        <v>3.4</v>
      </c>
      <c r="D51">
        <v>12.67</v>
      </c>
    </row>
    <row r="52" spans="2:5">
      <c r="B52" s="19" t="s">
        <v>77</v>
      </c>
    </row>
    <row r="53" spans="2:5">
      <c r="C53" t="s">
        <v>73</v>
      </c>
    </row>
    <row r="54" spans="2:5">
      <c r="B54" t="s">
        <v>1</v>
      </c>
      <c r="C54">
        <v>2.1</v>
      </c>
      <c r="D54">
        <v>197.34</v>
      </c>
      <c r="E54" s="12" t="s">
        <v>1</v>
      </c>
    </row>
    <row r="55" spans="2:5">
      <c r="B55" t="s">
        <v>45</v>
      </c>
      <c r="C55" s="17">
        <v>2.46</v>
      </c>
      <c r="D55">
        <v>127.15</v>
      </c>
      <c r="E55" s="12" t="s">
        <v>45</v>
      </c>
    </row>
    <row r="56" spans="2:5">
      <c r="B56" t="s">
        <v>46</v>
      </c>
      <c r="C56" s="17">
        <v>1.84</v>
      </c>
      <c r="D56">
        <v>24.36</v>
      </c>
      <c r="E56" s="12" t="s">
        <v>46</v>
      </c>
    </row>
    <row r="57" spans="2:5">
      <c r="B57" t="s">
        <v>47</v>
      </c>
      <c r="C57">
        <v>2.76</v>
      </c>
      <c r="D57">
        <v>32.69</v>
      </c>
      <c r="E57" s="12" t="s">
        <v>47</v>
      </c>
    </row>
    <row r="58" spans="2:5">
      <c r="B58" t="s">
        <v>69</v>
      </c>
      <c r="C58">
        <v>4.54</v>
      </c>
      <c r="D58">
        <v>436.99</v>
      </c>
      <c r="E58" s="12" t="s">
        <v>3</v>
      </c>
    </row>
    <row r="59" spans="2:5">
      <c r="B59" t="s">
        <v>6</v>
      </c>
      <c r="C59">
        <v>2.4300000000000002</v>
      </c>
      <c r="D59">
        <v>576.76</v>
      </c>
      <c r="E59" s="12" t="s">
        <v>6</v>
      </c>
    </row>
    <row r="60" spans="2:5">
      <c r="B60" t="s">
        <v>7</v>
      </c>
      <c r="C60">
        <v>1.49</v>
      </c>
      <c r="D60">
        <v>592.22</v>
      </c>
      <c r="E60" s="12" t="s">
        <v>7</v>
      </c>
    </row>
    <row r="61" spans="2:5">
      <c r="B61" t="s">
        <v>70</v>
      </c>
      <c r="C61">
        <v>2.41</v>
      </c>
      <c r="D61">
        <v>394.04</v>
      </c>
      <c r="E61" s="12" t="s">
        <v>2</v>
      </c>
    </row>
    <row r="62" spans="2:5">
      <c r="B62" t="s">
        <v>48</v>
      </c>
      <c r="C62">
        <v>2.36</v>
      </c>
      <c r="D62">
        <v>86.96</v>
      </c>
      <c r="E62" s="12" t="s">
        <v>48</v>
      </c>
    </row>
    <row r="63" spans="2:5">
      <c r="B63" t="s">
        <v>71</v>
      </c>
      <c r="C63">
        <v>3.33</v>
      </c>
      <c r="D63">
        <v>160.22</v>
      </c>
      <c r="E63" s="12" t="s">
        <v>50</v>
      </c>
    </row>
    <row r="64" spans="2:5">
      <c r="B64" t="s">
        <v>5</v>
      </c>
      <c r="C64">
        <v>2.66</v>
      </c>
      <c r="D64">
        <v>372.44</v>
      </c>
      <c r="E64" s="12" t="s">
        <v>5</v>
      </c>
    </row>
    <row r="65" spans="2:7">
      <c r="B65" t="s">
        <v>52</v>
      </c>
      <c r="C65">
        <v>3.73</v>
      </c>
      <c r="D65">
        <v>155.06</v>
      </c>
      <c r="E65" s="12" t="s">
        <v>52</v>
      </c>
    </row>
    <row r="66" spans="2:7">
      <c r="B66" t="s">
        <v>53</v>
      </c>
      <c r="C66">
        <v>4.91</v>
      </c>
      <c r="D66">
        <v>52.13</v>
      </c>
      <c r="E66" s="12" t="s">
        <v>53</v>
      </c>
    </row>
    <row r="67" spans="2:7">
      <c r="B67" t="s">
        <v>54</v>
      </c>
      <c r="D67">
        <v>17.63</v>
      </c>
      <c r="E67" s="12" t="s">
        <v>54</v>
      </c>
    </row>
    <row r="68" spans="2:7">
      <c r="B68" t="s">
        <v>55</v>
      </c>
      <c r="C68">
        <v>4.57</v>
      </c>
      <c r="D68">
        <v>190.62</v>
      </c>
      <c r="E68" s="12" t="s">
        <v>55</v>
      </c>
    </row>
    <row r="69" spans="2:7">
      <c r="B69" t="s">
        <v>56</v>
      </c>
      <c r="C69">
        <v>2.5499999999999998</v>
      </c>
      <c r="D69">
        <v>7.09</v>
      </c>
      <c r="E69" s="12" t="s">
        <v>56</v>
      </c>
    </row>
    <row r="70" spans="2:7">
      <c r="B70" t="s">
        <v>4</v>
      </c>
      <c r="C70">
        <v>2.4700000000000002</v>
      </c>
      <c r="D70">
        <v>506.01</v>
      </c>
      <c r="E70" s="12" t="s">
        <v>4</v>
      </c>
    </row>
    <row r="71" spans="2:7">
      <c r="B71" t="s">
        <v>57</v>
      </c>
      <c r="C71">
        <v>3.52</v>
      </c>
      <c r="D71">
        <v>21.28</v>
      </c>
      <c r="E71" s="12" t="s">
        <v>57</v>
      </c>
    </row>
    <row r="72" spans="2:7">
      <c r="B72" t="s">
        <v>58</v>
      </c>
      <c r="C72">
        <v>2.54</v>
      </c>
      <c r="D72">
        <v>467.7</v>
      </c>
      <c r="E72" s="12" t="s">
        <v>58</v>
      </c>
    </row>
    <row r="73" spans="2:7">
      <c r="B73" t="s">
        <v>8</v>
      </c>
      <c r="C73">
        <v>3.26</v>
      </c>
      <c r="D73">
        <v>877.84</v>
      </c>
      <c r="E73" s="12" t="s">
        <v>8</v>
      </c>
    </row>
    <row r="74" spans="2:7">
      <c r="B74" t="s">
        <v>59</v>
      </c>
      <c r="C74">
        <v>2.87</v>
      </c>
      <c r="D74">
        <v>48.79</v>
      </c>
      <c r="E74" s="12" t="s">
        <v>59</v>
      </c>
    </row>
    <row r="75" spans="2:7">
      <c r="B75" t="s">
        <v>51</v>
      </c>
      <c r="C75">
        <v>3.57</v>
      </c>
      <c r="D75">
        <v>111.62</v>
      </c>
      <c r="E75" s="12" t="s">
        <v>51</v>
      </c>
    </row>
    <row r="76" spans="2:7">
      <c r="B76" s="12" t="s">
        <v>60</v>
      </c>
      <c r="C76">
        <v>3.1</v>
      </c>
      <c r="D76">
        <v>122.73</v>
      </c>
      <c r="E76" s="12" t="s">
        <v>60</v>
      </c>
      <c r="G76" s="18"/>
    </row>
    <row r="77" spans="2:7">
      <c r="B77" t="s">
        <v>72</v>
      </c>
      <c r="C77">
        <v>2.4300000000000002</v>
      </c>
      <c r="D77">
        <v>19.29</v>
      </c>
      <c r="E77" s="12" t="s">
        <v>61</v>
      </c>
    </row>
    <row r="78" spans="2:7">
      <c r="B78" t="s">
        <v>0</v>
      </c>
      <c r="C78">
        <v>1.72</v>
      </c>
      <c r="D78">
        <v>12.67</v>
      </c>
      <c r="E78" s="12" t="s">
        <v>0</v>
      </c>
    </row>
    <row r="79" spans="2:7">
      <c r="B79" t="s">
        <v>62</v>
      </c>
      <c r="C79">
        <v>3.11</v>
      </c>
      <c r="D79">
        <v>13.75</v>
      </c>
      <c r="E79" s="12" t="s">
        <v>62</v>
      </c>
    </row>
    <row r="80" spans="2:7">
      <c r="B80" t="s">
        <v>74</v>
      </c>
    </row>
    <row r="82" spans="2:5">
      <c r="C82" t="s">
        <v>76</v>
      </c>
    </row>
    <row r="83" spans="2:5">
      <c r="B83" t="s">
        <v>1</v>
      </c>
      <c r="C83">
        <v>10.371</v>
      </c>
      <c r="D83">
        <v>197.34</v>
      </c>
      <c r="E83" t="s">
        <v>1</v>
      </c>
    </row>
    <row r="84" spans="2:5">
      <c r="B84" t="s">
        <v>45</v>
      </c>
      <c r="C84">
        <v>7.17</v>
      </c>
      <c r="D84">
        <v>127.15</v>
      </c>
      <c r="E84" t="s">
        <v>45</v>
      </c>
    </row>
    <row r="85" spans="2:5">
      <c r="B85" t="s">
        <v>47</v>
      </c>
      <c r="C85">
        <v>14.099000000000004</v>
      </c>
      <c r="D85">
        <v>32.69</v>
      </c>
      <c r="E85" t="s">
        <v>47</v>
      </c>
    </row>
    <row r="86" spans="2:5">
      <c r="B86" t="s">
        <v>3</v>
      </c>
      <c r="C86">
        <v>34.629999999999995</v>
      </c>
      <c r="D86">
        <v>436.99</v>
      </c>
      <c r="E86" t="s">
        <v>69</v>
      </c>
    </row>
    <row r="87" spans="2:5">
      <c r="B87" t="s">
        <v>6</v>
      </c>
      <c r="C87">
        <v>14.8719</v>
      </c>
      <c r="D87">
        <v>576.76</v>
      </c>
      <c r="E87" t="s">
        <v>6</v>
      </c>
    </row>
    <row r="88" spans="2:5">
      <c r="B88" t="s">
        <v>7</v>
      </c>
      <c r="C88">
        <v>7.4610000000000003</v>
      </c>
      <c r="D88">
        <v>592.22</v>
      </c>
      <c r="E88" t="s">
        <v>7</v>
      </c>
    </row>
    <row r="89" spans="2:5">
      <c r="B89" t="s">
        <v>2</v>
      </c>
      <c r="C89">
        <v>14.806999999999999</v>
      </c>
      <c r="D89">
        <v>394.04</v>
      </c>
      <c r="E89" t="s">
        <v>70</v>
      </c>
    </row>
    <row r="90" spans="2:5">
      <c r="B90" t="s">
        <v>48</v>
      </c>
      <c r="C90">
        <v>8.990000000000002</v>
      </c>
      <c r="D90">
        <v>86.96</v>
      </c>
      <c r="E90" t="s">
        <v>48</v>
      </c>
    </row>
    <row r="91" spans="2:5">
      <c r="B91" t="s">
        <v>102</v>
      </c>
      <c r="C91">
        <v>29.954999999999998</v>
      </c>
      <c r="D91">
        <v>160.22</v>
      </c>
      <c r="E91" t="s">
        <v>71</v>
      </c>
    </row>
    <row r="92" spans="2:5">
      <c r="B92" t="s">
        <v>5</v>
      </c>
      <c r="C92">
        <v>14.491</v>
      </c>
      <c r="D92">
        <v>372.44</v>
      </c>
      <c r="E92" t="s">
        <v>5</v>
      </c>
    </row>
    <row r="93" spans="2:5">
      <c r="B93" t="s">
        <v>52</v>
      </c>
      <c r="C93">
        <v>27.340000000000003</v>
      </c>
      <c r="D93">
        <v>155.06</v>
      </c>
      <c r="E93" t="s">
        <v>52</v>
      </c>
    </row>
    <row r="94" spans="2:5">
      <c r="B94" t="s">
        <v>53</v>
      </c>
      <c r="C94">
        <v>31.250000000000004</v>
      </c>
      <c r="D94">
        <v>52.13</v>
      </c>
      <c r="E94" t="s">
        <v>53</v>
      </c>
    </row>
    <row r="95" spans="2:5">
      <c r="B95" t="s">
        <v>55</v>
      </c>
      <c r="C95">
        <v>18.149000000000001</v>
      </c>
      <c r="D95">
        <v>190</v>
      </c>
      <c r="E95" t="s">
        <v>55</v>
      </c>
    </row>
    <row r="96" spans="2:5">
      <c r="B96" t="s">
        <v>54</v>
      </c>
      <c r="D96">
        <v>17.3</v>
      </c>
      <c r="E96" t="s">
        <v>54</v>
      </c>
    </row>
    <row r="97" spans="1:6">
      <c r="B97" t="s">
        <v>56</v>
      </c>
      <c r="C97">
        <v>15.337000000000002</v>
      </c>
      <c r="D97">
        <v>7.09</v>
      </c>
      <c r="E97" t="s">
        <v>56</v>
      </c>
    </row>
    <row r="98" spans="1:6">
      <c r="B98" t="s">
        <v>4</v>
      </c>
      <c r="C98">
        <v>13.454000000000001</v>
      </c>
      <c r="D98">
        <v>506.01</v>
      </c>
      <c r="E98" t="s">
        <v>4</v>
      </c>
    </row>
    <row r="99" spans="1:6">
      <c r="B99" t="s">
        <v>57</v>
      </c>
      <c r="C99">
        <v>17.347000000000001</v>
      </c>
      <c r="D99">
        <v>21.28</v>
      </c>
      <c r="E99" t="s">
        <v>57</v>
      </c>
    </row>
    <row r="100" spans="1:6">
      <c r="B100" t="s">
        <v>58</v>
      </c>
      <c r="C100">
        <v>16.091999999999999</v>
      </c>
      <c r="D100">
        <v>467.7</v>
      </c>
      <c r="E100" t="s">
        <v>58</v>
      </c>
    </row>
    <row r="101" spans="1:6">
      <c r="B101" t="s">
        <v>8</v>
      </c>
      <c r="C101">
        <v>14.979999999999999</v>
      </c>
      <c r="D101">
        <v>877.84</v>
      </c>
      <c r="E101" t="s">
        <v>8</v>
      </c>
    </row>
    <row r="102" spans="1:6">
      <c r="B102" t="s">
        <v>59</v>
      </c>
      <c r="C102">
        <v>20.88</v>
      </c>
      <c r="D102">
        <v>48.79</v>
      </c>
      <c r="E102" t="s">
        <v>59</v>
      </c>
    </row>
    <row r="103" spans="1:6">
      <c r="B103" t="s">
        <v>51</v>
      </c>
      <c r="C103">
        <v>14.501000000000001</v>
      </c>
      <c r="D103">
        <v>111.62</v>
      </c>
      <c r="E103" t="s">
        <v>51</v>
      </c>
    </row>
    <row r="104" spans="1:6">
      <c r="B104" t="s">
        <v>60</v>
      </c>
      <c r="C104">
        <v>19.649999999999999</v>
      </c>
      <c r="D104">
        <v>122.73</v>
      </c>
      <c r="E104" s="12" t="s">
        <v>60</v>
      </c>
    </row>
    <row r="105" spans="1:6">
      <c r="B105" t="s">
        <v>101</v>
      </c>
      <c r="C105">
        <v>26.45</v>
      </c>
      <c r="D105">
        <v>19.29</v>
      </c>
      <c r="E105" t="s">
        <v>72</v>
      </c>
    </row>
    <row r="106" spans="1:6">
      <c r="B106" t="s">
        <v>0</v>
      </c>
      <c r="C106">
        <v>8.1929999999999996</v>
      </c>
      <c r="D106">
        <v>12.67</v>
      </c>
      <c r="E106" t="s">
        <v>0</v>
      </c>
    </row>
    <row r="107" spans="1:6">
      <c r="B107" t="s">
        <v>62</v>
      </c>
      <c r="C107">
        <v>30.878999999999998</v>
      </c>
      <c r="D107">
        <v>13.75</v>
      </c>
      <c r="E107" t="s">
        <v>62</v>
      </c>
    </row>
    <row r="109" spans="1:6">
      <c r="A109" t="s">
        <v>75</v>
      </c>
    </row>
    <row r="111" spans="1:6">
      <c r="C111" t="s">
        <v>98</v>
      </c>
      <c r="D111" t="s">
        <v>99</v>
      </c>
    </row>
    <row r="112" spans="1:6">
      <c r="B112" t="s">
        <v>1</v>
      </c>
      <c r="C112">
        <v>9.89</v>
      </c>
      <c r="D112">
        <v>197.34</v>
      </c>
      <c r="E112" s="12" t="s">
        <v>1</v>
      </c>
      <c r="F112" s="16"/>
    </row>
    <row r="113" spans="2:6">
      <c r="B113" t="s">
        <v>45</v>
      </c>
      <c r="D113">
        <v>127.15</v>
      </c>
      <c r="E113" s="12" t="s">
        <v>45</v>
      </c>
      <c r="F113" s="16"/>
    </row>
    <row r="114" spans="2:6">
      <c r="B114" t="s">
        <v>46</v>
      </c>
      <c r="C114">
        <v>18.138999999999999</v>
      </c>
      <c r="D114">
        <v>24.36</v>
      </c>
      <c r="E114" s="12" t="s">
        <v>46</v>
      </c>
      <c r="F114" s="16"/>
    </row>
    <row r="115" spans="2:6">
      <c r="B115" t="s">
        <v>47</v>
      </c>
      <c r="C115">
        <v>4.6989999999999998</v>
      </c>
      <c r="D115">
        <v>32.69</v>
      </c>
      <c r="E115" s="12" t="s">
        <v>47</v>
      </c>
      <c r="F115" s="16"/>
    </row>
    <row r="116" spans="2:6">
      <c r="B116" t="s">
        <v>3</v>
      </c>
      <c r="C116">
        <v>3.5659999999999998</v>
      </c>
      <c r="D116">
        <v>436.99</v>
      </c>
      <c r="E116" s="12" t="s">
        <v>3</v>
      </c>
      <c r="F116" s="16"/>
    </row>
    <row r="117" spans="2:6">
      <c r="B117" t="s">
        <v>6</v>
      </c>
      <c r="C117">
        <v>8.9320000000000004</v>
      </c>
      <c r="D117">
        <v>576.76</v>
      </c>
      <c r="E117" s="12" t="s">
        <v>6</v>
      </c>
      <c r="F117" s="16"/>
    </row>
    <row r="118" spans="2:6">
      <c r="B118" t="s">
        <v>7</v>
      </c>
      <c r="C118">
        <v>14.615</v>
      </c>
      <c r="D118">
        <v>592.22</v>
      </c>
      <c r="E118" s="12" t="s">
        <v>7</v>
      </c>
      <c r="F118" s="16"/>
    </row>
    <row r="119" spans="2:6">
      <c r="B119" t="s">
        <v>2</v>
      </c>
      <c r="C119">
        <v>6.4189999999999996</v>
      </c>
      <c r="D119">
        <v>394.04</v>
      </c>
      <c r="E119" s="12" t="s">
        <v>2</v>
      </c>
      <c r="F119" s="16"/>
    </row>
    <row r="120" spans="2:6">
      <c r="B120" t="s">
        <v>48</v>
      </c>
      <c r="C120">
        <v>12.599</v>
      </c>
      <c r="D120">
        <v>86.96</v>
      </c>
      <c r="E120" s="12" t="s">
        <v>48</v>
      </c>
      <c r="F120" s="16"/>
    </row>
    <row r="121" spans="2:6">
      <c r="B121" t="s">
        <v>103</v>
      </c>
      <c r="C121">
        <v>8.5950000000000006</v>
      </c>
      <c r="D121">
        <v>160.22</v>
      </c>
      <c r="E121" s="12" t="s">
        <v>50</v>
      </c>
      <c r="F121" s="16"/>
    </row>
    <row r="122" spans="2:6">
      <c r="B122" t="s">
        <v>5</v>
      </c>
      <c r="C122">
        <v>6.26</v>
      </c>
      <c r="D122">
        <v>372.44</v>
      </c>
      <c r="E122" s="12" t="s">
        <v>5</v>
      </c>
      <c r="F122" s="16"/>
    </row>
    <row r="123" spans="2:6">
      <c r="B123" t="s">
        <v>51</v>
      </c>
      <c r="C123">
        <v>4.1859999999999999</v>
      </c>
      <c r="D123">
        <v>111.62</v>
      </c>
      <c r="E123" s="12" t="s">
        <v>51</v>
      </c>
      <c r="F123" s="16"/>
    </row>
    <row r="124" spans="2:6">
      <c r="B124" t="s">
        <v>52</v>
      </c>
      <c r="C124">
        <v>4.3540000000000001</v>
      </c>
      <c r="D124">
        <v>155.06</v>
      </c>
      <c r="E124" s="12" t="s">
        <v>52</v>
      </c>
      <c r="F124" s="16"/>
    </row>
    <row r="125" spans="2:6">
      <c r="B125" t="s">
        <v>53</v>
      </c>
      <c r="C125">
        <v>6.5940000000000003</v>
      </c>
      <c r="D125">
        <v>52.13</v>
      </c>
      <c r="E125" s="12" t="s">
        <v>53</v>
      </c>
      <c r="F125" s="16"/>
    </row>
    <row r="126" spans="2:6">
      <c r="B126" t="s">
        <v>54</v>
      </c>
      <c r="C126">
        <v>1.272</v>
      </c>
      <c r="D126">
        <v>17.63</v>
      </c>
      <c r="E126" s="12" t="s">
        <v>54</v>
      </c>
      <c r="F126" s="16"/>
    </row>
    <row r="127" spans="2:6">
      <c r="B127" t="s">
        <v>55</v>
      </c>
      <c r="C127">
        <v>2.5499999999999998</v>
      </c>
      <c r="D127">
        <v>190.62</v>
      </c>
      <c r="E127" s="12" t="s">
        <v>55</v>
      </c>
      <c r="F127" s="16"/>
    </row>
    <row r="128" spans="2:6">
      <c r="B128" t="s">
        <v>56</v>
      </c>
      <c r="C128">
        <v>5.7809999999999997</v>
      </c>
      <c r="D128">
        <v>7.09</v>
      </c>
      <c r="E128" s="12" t="s">
        <v>56</v>
      </c>
      <c r="F128" s="16"/>
    </row>
    <row r="129" spans="2:9">
      <c r="B129" t="s">
        <v>4</v>
      </c>
      <c r="C129">
        <v>10.023999999999999</v>
      </c>
      <c r="D129">
        <v>506.01</v>
      </c>
      <c r="E129" s="12" t="s">
        <v>4</v>
      </c>
      <c r="F129" s="16"/>
    </row>
    <row r="130" spans="2:9">
      <c r="B130" t="s">
        <v>57</v>
      </c>
      <c r="C130">
        <v>1.92</v>
      </c>
      <c r="D130">
        <v>21.28</v>
      </c>
      <c r="E130" s="12" t="s">
        <v>57</v>
      </c>
      <c r="F130" s="16"/>
    </row>
    <row r="131" spans="2:9">
      <c r="B131" t="s">
        <v>58</v>
      </c>
      <c r="C131">
        <v>15.83</v>
      </c>
      <c r="D131">
        <v>467.7</v>
      </c>
      <c r="E131" s="12" t="s">
        <v>58</v>
      </c>
      <c r="F131" s="16"/>
    </row>
    <row r="132" spans="2:9">
      <c r="B132" t="s">
        <v>59</v>
      </c>
      <c r="C132">
        <v>5.3319999999999999</v>
      </c>
      <c r="D132">
        <v>48.79</v>
      </c>
      <c r="E132" s="12" t="s">
        <v>59</v>
      </c>
      <c r="F132" s="16"/>
    </row>
    <row r="133" spans="2:9">
      <c r="B133" t="s">
        <v>8</v>
      </c>
      <c r="C133">
        <v>6.9580000000000002</v>
      </c>
      <c r="D133">
        <v>877.84</v>
      </c>
      <c r="E133" s="12" t="s">
        <v>8</v>
      </c>
      <c r="F133" s="16"/>
    </row>
    <row r="134" spans="2:9">
      <c r="B134" t="s">
        <v>60</v>
      </c>
      <c r="C134">
        <v>6.1909999999999998</v>
      </c>
      <c r="D134">
        <v>122.73</v>
      </c>
      <c r="E134" s="12" t="s">
        <v>60</v>
      </c>
      <c r="F134" s="16"/>
    </row>
    <row r="135" spans="2:9">
      <c r="B135" t="s">
        <v>104</v>
      </c>
      <c r="C135">
        <v>16.637</v>
      </c>
      <c r="D135">
        <v>19.29</v>
      </c>
      <c r="E135" s="12" t="s">
        <v>61</v>
      </c>
      <c r="F135" s="16"/>
    </row>
    <row r="136" spans="2:9">
      <c r="B136" t="s">
        <v>0</v>
      </c>
      <c r="C136">
        <v>17.681000000000001</v>
      </c>
      <c r="D136">
        <v>12.67</v>
      </c>
      <c r="E136" s="12" t="s">
        <v>0</v>
      </c>
      <c r="F136" s="16"/>
    </row>
    <row r="137" spans="2:9">
      <c r="B137" t="s">
        <v>62</v>
      </c>
      <c r="C137">
        <v>2.2989999999999999</v>
      </c>
      <c r="D137">
        <v>13.75</v>
      </c>
      <c r="E137" s="12" t="s">
        <v>62</v>
      </c>
      <c r="F137" s="16"/>
    </row>
    <row r="138" spans="2:9">
      <c r="C138" t="s">
        <v>108</v>
      </c>
      <c r="D138" t="s">
        <v>109</v>
      </c>
      <c r="H138" t="s">
        <v>108</v>
      </c>
      <c r="I138" t="s">
        <v>112</v>
      </c>
    </row>
    <row r="139" spans="2:9">
      <c r="B139" s="12" t="s">
        <v>1</v>
      </c>
      <c r="C139" s="25">
        <v>0.84499999999999997</v>
      </c>
      <c r="D139">
        <v>197.34</v>
      </c>
      <c r="H139" s="25">
        <v>0.84499999999999997</v>
      </c>
      <c r="I139" s="16">
        <v>52.75</v>
      </c>
    </row>
    <row r="140" spans="2:9">
      <c r="B140" s="12" t="s">
        <v>45</v>
      </c>
      <c r="C140" s="25">
        <v>0.57099999999999995</v>
      </c>
      <c r="D140">
        <v>127.15</v>
      </c>
      <c r="H140" s="25">
        <v>0.57099999999999995</v>
      </c>
      <c r="I140" s="16">
        <v>19.399999999999999</v>
      </c>
    </row>
    <row r="141" spans="2:9">
      <c r="B141" s="12" t="s">
        <v>46</v>
      </c>
      <c r="C141" s="26">
        <v>0.81399999999999995</v>
      </c>
      <c r="D141">
        <v>24.36</v>
      </c>
      <c r="H141" s="26">
        <v>0.81399999999999995</v>
      </c>
      <c r="I141" s="16">
        <v>17.850000000000001</v>
      </c>
    </row>
    <row r="142" spans="2:9">
      <c r="B142" s="12" t="s">
        <v>47</v>
      </c>
      <c r="C142" s="25">
        <v>0.71599999999999997</v>
      </c>
      <c r="D142">
        <v>32.69</v>
      </c>
      <c r="H142" s="25">
        <v>0.71599999999999997</v>
      </c>
      <c r="I142" s="16">
        <v>17.600000000000001</v>
      </c>
    </row>
    <row r="143" spans="2:9">
      <c r="B143" s="12" t="s">
        <v>3</v>
      </c>
      <c r="C143" s="25">
        <v>0.71799999999999997</v>
      </c>
      <c r="D143">
        <v>436.99</v>
      </c>
      <c r="H143" s="25">
        <v>0.71799999999999997</v>
      </c>
      <c r="I143" s="16">
        <v>22.05</v>
      </c>
    </row>
    <row r="144" spans="2:9">
      <c r="B144" s="12" t="s">
        <v>6</v>
      </c>
      <c r="C144" s="25">
        <v>0.76500000000000001</v>
      </c>
      <c r="D144">
        <v>576.76</v>
      </c>
      <c r="H144" s="25">
        <v>0.76500000000000001</v>
      </c>
      <c r="I144" s="16">
        <v>56.05</v>
      </c>
    </row>
    <row r="145" spans="2:9">
      <c r="B145" s="12" t="s">
        <v>7</v>
      </c>
      <c r="C145" s="25">
        <v>0.85099999999999998</v>
      </c>
      <c r="D145">
        <v>592.22</v>
      </c>
      <c r="H145" s="25">
        <v>0.85099999999999998</v>
      </c>
      <c r="I145" s="16">
        <v>49.75</v>
      </c>
    </row>
    <row r="146" spans="2:9">
      <c r="B146" s="12" t="s">
        <v>2</v>
      </c>
      <c r="C146" s="25">
        <v>0.76700000000000002</v>
      </c>
      <c r="D146">
        <v>394.04</v>
      </c>
      <c r="H146" s="25">
        <v>0.76700000000000002</v>
      </c>
      <c r="I146" s="16">
        <v>38.9</v>
      </c>
    </row>
    <row r="147" spans="2:9">
      <c r="B147" s="12" t="s">
        <v>48</v>
      </c>
      <c r="C147" s="25">
        <v>0.81</v>
      </c>
      <c r="D147">
        <v>86.96</v>
      </c>
      <c r="H147" s="25">
        <v>0.81</v>
      </c>
      <c r="I147" s="16">
        <v>30.700000000000003</v>
      </c>
    </row>
    <row r="148" spans="2:9">
      <c r="B148" s="12" t="s">
        <v>49</v>
      </c>
      <c r="C148" s="25">
        <v>0.78300000000000003</v>
      </c>
      <c r="D148">
        <v>8.39</v>
      </c>
      <c r="H148" s="25">
        <v>0.78300000000000003</v>
      </c>
      <c r="I148" s="16">
        <v>31.65</v>
      </c>
    </row>
    <row r="149" spans="2:9">
      <c r="B149" s="12" t="s">
        <v>50</v>
      </c>
      <c r="C149" s="25">
        <v>0.75600000000000001</v>
      </c>
      <c r="D149">
        <v>160.22</v>
      </c>
      <c r="H149" s="25">
        <v>0.75600000000000001</v>
      </c>
      <c r="I149" s="16">
        <v>31.7</v>
      </c>
    </row>
    <row r="150" spans="2:9">
      <c r="B150" s="12" t="s">
        <v>5</v>
      </c>
      <c r="C150" s="25">
        <v>0.75900000000000001</v>
      </c>
      <c r="D150">
        <v>372.44</v>
      </c>
      <c r="H150" s="25">
        <v>0.75900000000000001</v>
      </c>
      <c r="I150" s="16">
        <v>37.35</v>
      </c>
    </row>
    <row r="151" spans="2:9">
      <c r="B151" s="12" t="s">
        <v>51</v>
      </c>
      <c r="C151" s="25">
        <v>0.67300000000000004</v>
      </c>
      <c r="D151">
        <v>111.62</v>
      </c>
      <c r="H151" s="25">
        <v>0.67300000000000004</v>
      </c>
      <c r="I151" s="16">
        <v>33.65</v>
      </c>
    </row>
    <row r="152" spans="2:9">
      <c r="B152" s="12" t="s">
        <v>52</v>
      </c>
      <c r="C152" s="25">
        <v>0.66300000000000003</v>
      </c>
      <c r="D152">
        <v>155.06</v>
      </c>
      <c r="H152" s="25">
        <v>0.66300000000000003</v>
      </c>
      <c r="I152" s="16">
        <v>18.2</v>
      </c>
    </row>
    <row r="153" spans="2:9">
      <c r="B153" s="12" t="s">
        <v>53</v>
      </c>
      <c r="C153" s="25">
        <v>0.68200000000000005</v>
      </c>
      <c r="D153">
        <v>52.13</v>
      </c>
      <c r="H153" s="25">
        <v>0.68200000000000005</v>
      </c>
      <c r="I153" s="16">
        <v>24.25</v>
      </c>
    </row>
    <row r="154" spans="2:9">
      <c r="B154" s="12" t="s">
        <v>54</v>
      </c>
      <c r="C154" s="25">
        <v>0.51</v>
      </c>
      <c r="D154">
        <v>17.63</v>
      </c>
      <c r="H154" s="25">
        <v>0.51</v>
      </c>
      <c r="I154" s="16">
        <v>15.850000000000001</v>
      </c>
    </row>
    <row r="155" spans="2:9">
      <c r="B155" s="12" t="s">
        <v>55</v>
      </c>
      <c r="C155" s="25">
        <v>0.63400000000000001</v>
      </c>
      <c r="D155">
        <v>190.62</v>
      </c>
      <c r="H155" s="25">
        <v>0.63400000000000001</v>
      </c>
      <c r="I155" s="16">
        <v>19.25</v>
      </c>
    </row>
    <row r="156" spans="2:9">
      <c r="B156" s="12" t="s">
        <v>56</v>
      </c>
      <c r="C156" s="25">
        <v>0.73399999999999999</v>
      </c>
      <c r="D156">
        <v>7.09</v>
      </c>
      <c r="H156" s="25">
        <v>0.73399999999999999</v>
      </c>
      <c r="I156" s="16">
        <v>17.350000000000001</v>
      </c>
    </row>
    <row r="157" spans="2:9">
      <c r="B157" s="12" t="s">
        <v>4</v>
      </c>
      <c r="C157" s="25">
        <v>0.77900000000000003</v>
      </c>
      <c r="D157">
        <v>506.01</v>
      </c>
      <c r="H157" s="25">
        <v>0.77900000000000003</v>
      </c>
      <c r="I157" s="16">
        <v>48.849999999999994</v>
      </c>
    </row>
    <row r="158" spans="2:9">
      <c r="B158" s="12" t="s">
        <v>57</v>
      </c>
      <c r="C158" s="25">
        <v>0.57099999999999995</v>
      </c>
      <c r="D158">
        <v>21.28</v>
      </c>
      <c r="H158" s="25">
        <v>0.57099999999999995</v>
      </c>
      <c r="I158" s="16">
        <v>42.55</v>
      </c>
    </row>
    <row r="159" spans="2:9">
      <c r="B159" s="12" t="s">
        <v>58</v>
      </c>
      <c r="C159" s="25">
        <v>0.81499999999999995</v>
      </c>
      <c r="D159">
        <v>467.7</v>
      </c>
      <c r="H159" s="25">
        <v>0.81499999999999995</v>
      </c>
      <c r="I159" s="16">
        <v>40.75</v>
      </c>
    </row>
    <row r="160" spans="2:9">
      <c r="B160" s="12" t="s">
        <v>59</v>
      </c>
      <c r="C160" s="25">
        <v>0.72799999999999998</v>
      </c>
      <c r="D160">
        <v>48.79</v>
      </c>
      <c r="H160" s="25">
        <v>0.72799999999999998</v>
      </c>
      <c r="I160" s="16">
        <v>27.5</v>
      </c>
    </row>
    <row r="161" spans="2:9">
      <c r="B161" s="12" t="s">
        <v>8</v>
      </c>
      <c r="C161" s="25">
        <v>0.77700000000000002</v>
      </c>
      <c r="D161">
        <v>877.84</v>
      </c>
      <c r="H161" s="25">
        <v>0.77700000000000002</v>
      </c>
      <c r="I161" s="16">
        <v>48.35</v>
      </c>
    </row>
    <row r="162" spans="2:9">
      <c r="B162" s="12" t="s">
        <v>60</v>
      </c>
      <c r="C162" s="25">
        <v>0.73799999999999999</v>
      </c>
      <c r="D162">
        <v>122.73</v>
      </c>
      <c r="H162" s="25">
        <v>0.73799999999999999</v>
      </c>
      <c r="I162" s="16">
        <v>31.9</v>
      </c>
    </row>
    <row r="163" spans="2:9">
      <c r="B163" s="12" t="s">
        <v>61</v>
      </c>
      <c r="C163" s="25">
        <v>0.79600000000000004</v>
      </c>
      <c r="D163">
        <v>19.29</v>
      </c>
      <c r="H163" s="25">
        <v>0.79600000000000004</v>
      </c>
      <c r="I163" s="16">
        <v>33.450000000000003</v>
      </c>
    </row>
    <row r="164" spans="2:9">
      <c r="B164" s="12" t="s">
        <v>0</v>
      </c>
      <c r="C164" s="25">
        <v>0.81699999999999995</v>
      </c>
      <c r="D164">
        <v>12.67</v>
      </c>
      <c r="H164" s="25">
        <v>0.81699999999999995</v>
      </c>
      <c r="I164" s="16">
        <v>32.700000000000003</v>
      </c>
    </row>
    <row r="165" spans="2:9">
      <c r="B165" s="12" t="s">
        <v>62</v>
      </c>
      <c r="C165" s="25">
        <v>0.71099999999999997</v>
      </c>
      <c r="D165">
        <v>13.75</v>
      </c>
      <c r="H165" s="25">
        <v>0.71099999999999997</v>
      </c>
      <c r="I165" s="16">
        <v>16.3</v>
      </c>
    </row>
    <row r="168" spans="2:9" ht="15.75" thickBot="1">
      <c r="C168" t="s">
        <v>114</v>
      </c>
      <c r="G168" s="28"/>
      <c r="H168" s="29" t="s">
        <v>115</v>
      </c>
    </row>
    <row r="169" spans="2:9" ht="15.75" thickBot="1">
      <c r="B169" s="12" t="s">
        <v>1</v>
      </c>
      <c r="C169" s="27"/>
      <c r="D169">
        <v>197.34</v>
      </c>
      <c r="G169" s="30" t="s">
        <v>1</v>
      </c>
      <c r="H169" s="31">
        <v>49.4</v>
      </c>
      <c r="I169" s="32">
        <v>197.34</v>
      </c>
    </row>
    <row r="170" spans="2:9" ht="15.75" thickBot="1">
      <c r="B170" s="12" t="s">
        <v>45</v>
      </c>
      <c r="D170">
        <v>127.15</v>
      </c>
      <c r="G170" s="33" t="s">
        <v>45</v>
      </c>
      <c r="H170" s="28"/>
      <c r="I170" s="32">
        <v>127.15</v>
      </c>
    </row>
    <row r="171" spans="2:9" ht="15.75" thickBot="1">
      <c r="B171" s="12" t="s">
        <v>46</v>
      </c>
      <c r="D171">
        <v>24.36</v>
      </c>
      <c r="G171" s="33" t="s">
        <v>46</v>
      </c>
      <c r="H171" s="28"/>
      <c r="I171" s="32">
        <v>24.36</v>
      </c>
    </row>
    <row r="172" spans="2:9" ht="15.75" thickBot="1">
      <c r="B172" s="12" t="s">
        <v>47</v>
      </c>
      <c r="D172">
        <v>32.69</v>
      </c>
      <c r="G172" s="33" t="s">
        <v>47</v>
      </c>
      <c r="H172" s="28"/>
      <c r="I172" s="32">
        <v>32.69</v>
      </c>
    </row>
    <row r="173" spans="2:9" ht="15.75" thickBot="1">
      <c r="B173" s="12" t="s">
        <v>3</v>
      </c>
      <c r="C173" s="27"/>
      <c r="D173">
        <v>436.99</v>
      </c>
      <c r="G173" s="33" t="s">
        <v>3</v>
      </c>
      <c r="H173" s="31">
        <v>84.9</v>
      </c>
      <c r="I173" s="32">
        <v>436.99</v>
      </c>
    </row>
    <row r="174" spans="2:9" ht="15.75" thickBot="1">
      <c r="B174" s="12" t="s">
        <v>6</v>
      </c>
      <c r="C174" s="27">
        <v>47.1</v>
      </c>
      <c r="D174">
        <v>576.76</v>
      </c>
      <c r="G174" s="33" t="s">
        <v>6</v>
      </c>
      <c r="H174" s="34"/>
      <c r="I174" s="32">
        <v>576.76</v>
      </c>
    </row>
    <row r="175" spans="2:9" ht="15.75" thickBot="1">
      <c r="B175" s="12" t="s">
        <v>7</v>
      </c>
      <c r="C175" s="27">
        <v>25.3</v>
      </c>
      <c r="D175">
        <v>592.22</v>
      </c>
      <c r="G175" s="33" t="s">
        <v>7</v>
      </c>
      <c r="H175" s="34"/>
      <c r="I175" s="32">
        <v>592.22</v>
      </c>
    </row>
    <row r="176" spans="2:9" ht="15.75" thickBot="1">
      <c r="B176" s="12" t="s">
        <v>2</v>
      </c>
      <c r="C176" s="27"/>
      <c r="D176">
        <v>394.04</v>
      </c>
      <c r="G176" s="33" t="s">
        <v>2</v>
      </c>
      <c r="H176" s="31">
        <v>62.1</v>
      </c>
      <c r="I176" s="32">
        <v>394.04</v>
      </c>
    </row>
    <row r="177" spans="2:9" ht="15.75" thickBot="1">
      <c r="B177" s="12" t="s">
        <v>48</v>
      </c>
      <c r="C177" s="27"/>
      <c r="D177">
        <v>86.96</v>
      </c>
      <c r="G177" s="33" t="s">
        <v>48</v>
      </c>
      <c r="H177" s="31">
        <v>36.6</v>
      </c>
      <c r="I177" s="32">
        <v>86.96</v>
      </c>
    </row>
    <row r="178" spans="2:9" ht="15.75" thickBot="1">
      <c r="B178" s="12" t="s">
        <v>49</v>
      </c>
      <c r="D178">
        <v>8.39</v>
      </c>
      <c r="G178" s="33" t="s">
        <v>49</v>
      </c>
      <c r="H178" s="28"/>
      <c r="I178" s="32">
        <v>8.39</v>
      </c>
    </row>
    <row r="179" spans="2:9" ht="15.75" thickBot="1">
      <c r="B179" s="12" t="s">
        <v>71</v>
      </c>
      <c r="C179" s="31"/>
      <c r="D179">
        <v>160.22</v>
      </c>
      <c r="G179" s="33" t="s">
        <v>71</v>
      </c>
      <c r="H179" s="31">
        <v>54.3</v>
      </c>
      <c r="I179" s="32">
        <v>160.22</v>
      </c>
    </row>
    <row r="180" spans="2:9" ht="15.75" thickBot="1">
      <c r="B180" s="12" t="s">
        <v>5</v>
      </c>
      <c r="C180" s="27"/>
      <c r="D180">
        <v>372.44</v>
      </c>
      <c r="G180" s="33" t="s">
        <v>5</v>
      </c>
      <c r="H180" s="31">
        <v>63.5</v>
      </c>
      <c r="I180" s="32">
        <v>372.44</v>
      </c>
    </row>
    <row r="181" spans="2:9" ht="15.75" thickBot="1">
      <c r="B181" s="12" t="s">
        <v>51</v>
      </c>
      <c r="C181" s="27">
        <v>69.099999999999994</v>
      </c>
      <c r="D181">
        <v>111.62</v>
      </c>
      <c r="G181" s="33" t="s">
        <v>51</v>
      </c>
      <c r="H181" s="34"/>
      <c r="I181" s="32">
        <v>111.62</v>
      </c>
    </row>
    <row r="182" spans="2:9" ht="15.75" thickBot="1">
      <c r="B182" s="12" t="s">
        <v>52</v>
      </c>
      <c r="C182" s="27">
        <v>79</v>
      </c>
      <c r="D182">
        <v>155.06</v>
      </c>
      <c r="G182" s="33" t="s">
        <v>52</v>
      </c>
      <c r="H182" s="34"/>
      <c r="I182" s="32">
        <v>155.06</v>
      </c>
    </row>
    <row r="183" spans="2:9" ht="15.75" thickBot="1">
      <c r="B183" s="12" t="s">
        <v>53</v>
      </c>
      <c r="C183" s="27">
        <v>58.1</v>
      </c>
      <c r="D183">
        <v>52.13</v>
      </c>
      <c r="G183" s="33" t="s">
        <v>53</v>
      </c>
      <c r="H183" s="34"/>
      <c r="I183" s="32">
        <v>52.13</v>
      </c>
    </row>
    <row r="184" spans="2:9" ht="15.75" thickBot="1">
      <c r="B184" s="12" t="s">
        <v>54</v>
      </c>
      <c r="C184" s="27">
        <v>91.5</v>
      </c>
      <c r="D184">
        <v>17.63</v>
      </c>
      <c r="G184" s="33" t="s">
        <v>54</v>
      </c>
      <c r="H184" s="34"/>
      <c r="I184" s="32">
        <v>17.63</v>
      </c>
    </row>
    <row r="185" spans="2:9" ht="15.75" thickBot="1">
      <c r="B185" s="12" t="s">
        <v>55</v>
      </c>
      <c r="C185" s="27">
        <v>82.6</v>
      </c>
      <c r="D185">
        <v>190.62</v>
      </c>
      <c r="G185" s="33" t="s">
        <v>55</v>
      </c>
      <c r="H185" s="34"/>
      <c r="I185" s="32">
        <v>190.62</v>
      </c>
    </row>
    <row r="186" spans="2:9" ht="15.75" thickBot="1">
      <c r="B186" s="12" t="s">
        <v>56</v>
      </c>
      <c r="C186" s="27"/>
      <c r="D186">
        <v>7.09</v>
      </c>
      <c r="G186" s="33" t="s">
        <v>56</v>
      </c>
      <c r="H186" s="27">
        <v>43</v>
      </c>
      <c r="I186" s="32">
        <v>7.09</v>
      </c>
    </row>
    <row r="187" spans="2:9" ht="15.75" thickBot="1">
      <c r="B187" s="12" t="s">
        <v>4</v>
      </c>
      <c r="C187" s="27"/>
      <c r="D187">
        <v>506.01</v>
      </c>
      <c r="G187" s="33" t="s">
        <v>4</v>
      </c>
      <c r="H187" s="31">
        <v>65.900000000000006</v>
      </c>
      <c r="I187" s="32">
        <v>506.01</v>
      </c>
    </row>
    <row r="188" spans="2:9" ht="15.75" thickBot="1">
      <c r="B188" s="12" t="s">
        <v>57</v>
      </c>
      <c r="C188">
        <v>81.8</v>
      </c>
      <c r="D188">
        <v>21.28</v>
      </c>
      <c r="G188" s="33" t="s">
        <v>57</v>
      </c>
      <c r="H188" s="28"/>
      <c r="I188" s="32">
        <v>21.28</v>
      </c>
    </row>
    <row r="189" spans="2:9" ht="15.75" thickBot="1">
      <c r="B189" s="12" t="s">
        <v>58</v>
      </c>
      <c r="C189" s="27"/>
      <c r="D189">
        <v>467.7</v>
      </c>
      <c r="G189" s="33" t="s">
        <v>58</v>
      </c>
      <c r="H189" s="31">
        <v>52.8</v>
      </c>
      <c r="I189" s="32">
        <v>467.7</v>
      </c>
    </row>
    <row r="190" spans="2:9" ht="15.75" thickBot="1">
      <c r="B190" s="12" t="s">
        <v>59</v>
      </c>
      <c r="C190" s="27">
        <v>68.900000000000006</v>
      </c>
      <c r="D190">
        <v>48.79</v>
      </c>
      <c r="G190" s="33" t="s">
        <v>59</v>
      </c>
      <c r="H190" s="34"/>
      <c r="I190" s="32">
        <v>48.79</v>
      </c>
    </row>
    <row r="191" spans="2:9" ht="15.75" thickBot="1">
      <c r="B191" s="12" t="s">
        <v>8</v>
      </c>
      <c r="C191" s="27"/>
      <c r="D191">
        <v>877.84</v>
      </c>
      <c r="G191" s="33" t="s">
        <v>8</v>
      </c>
      <c r="H191" s="34">
        <v>68.400000000000006</v>
      </c>
      <c r="I191" s="32">
        <v>877.84</v>
      </c>
    </row>
    <row r="192" spans="2:9" ht="15.75" thickBot="1">
      <c r="B192" s="12" t="s">
        <v>60</v>
      </c>
      <c r="C192" s="27"/>
      <c r="D192">
        <v>122.73</v>
      </c>
      <c r="G192" s="33" t="s">
        <v>60</v>
      </c>
      <c r="H192" s="27">
        <v>52.1</v>
      </c>
      <c r="I192" s="32">
        <v>122.73</v>
      </c>
    </row>
    <row r="193" spans="2:9" ht="15.75" thickBot="1">
      <c r="B193" s="12" t="s">
        <v>61</v>
      </c>
      <c r="D193">
        <v>19.29</v>
      </c>
      <c r="G193" s="33" t="s">
        <v>61</v>
      </c>
      <c r="H193" s="28"/>
      <c r="I193" s="32">
        <v>19.29</v>
      </c>
    </row>
    <row r="194" spans="2:9" ht="15.75" thickBot="1">
      <c r="B194" s="12" t="s">
        <v>0</v>
      </c>
      <c r="C194" s="27"/>
      <c r="D194">
        <v>12.67</v>
      </c>
      <c r="G194" s="33" t="s">
        <v>0</v>
      </c>
      <c r="H194" s="31">
        <v>23.9</v>
      </c>
      <c r="I194" s="32">
        <v>12.67</v>
      </c>
    </row>
    <row r="195" spans="2:9" ht="15.75" thickBot="1">
      <c r="B195" s="12" t="s">
        <v>62</v>
      </c>
      <c r="D195">
        <v>13.75</v>
      </c>
      <c r="G195" s="33" t="s">
        <v>62</v>
      </c>
      <c r="H195" s="28"/>
      <c r="I195" s="32">
        <v>13.75</v>
      </c>
    </row>
    <row r="196" spans="2:9">
      <c r="B196" s="19" t="s">
        <v>113</v>
      </c>
      <c r="G196" s="35" t="s">
        <v>113</v>
      </c>
      <c r="H196" s="28"/>
      <c r="I196" s="28"/>
    </row>
    <row r="198" spans="2:9">
      <c r="C198" t="s">
        <v>117</v>
      </c>
    </row>
    <row r="199" spans="2:9">
      <c r="B199" t="s">
        <v>1</v>
      </c>
      <c r="C199">
        <v>41.3</v>
      </c>
      <c r="D199">
        <v>197.34</v>
      </c>
      <c r="E199" s="16"/>
    </row>
    <row r="200" spans="2:9">
      <c r="B200" t="s">
        <v>3</v>
      </c>
      <c r="C200">
        <v>42.6</v>
      </c>
      <c r="D200">
        <v>436.99</v>
      </c>
      <c r="E200" s="16"/>
    </row>
    <row r="201" spans="2:9">
      <c r="B201" t="s">
        <v>6</v>
      </c>
      <c r="C201">
        <v>53.9</v>
      </c>
      <c r="D201">
        <v>576.76</v>
      </c>
      <c r="E201" s="16"/>
    </row>
    <row r="202" spans="2:9">
      <c r="B202" t="s">
        <v>7</v>
      </c>
      <c r="C202">
        <v>44.4</v>
      </c>
      <c r="D202">
        <v>592.22</v>
      </c>
      <c r="E202" s="16"/>
    </row>
    <row r="203" spans="2:9">
      <c r="B203" t="s">
        <v>2</v>
      </c>
      <c r="C203">
        <v>50.4</v>
      </c>
      <c r="D203">
        <v>394.04</v>
      </c>
      <c r="E203" s="16"/>
    </row>
    <row r="204" spans="2:9">
      <c r="B204" t="s">
        <v>48</v>
      </c>
      <c r="C204">
        <v>48</v>
      </c>
      <c r="D204">
        <v>86.96</v>
      </c>
      <c r="E204" s="16"/>
    </row>
    <row r="205" spans="2:9">
      <c r="B205" t="s">
        <v>50</v>
      </c>
      <c r="C205">
        <v>43.7</v>
      </c>
      <c r="D205">
        <v>160.22</v>
      </c>
      <c r="E205" s="16"/>
    </row>
    <row r="206" spans="2:9">
      <c r="B206" t="s">
        <v>5</v>
      </c>
      <c r="C206">
        <v>45.4</v>
      </c>
      <c r="D206">
        <v>372.44</v>
      </c>
      <c r="E206" s="16"/>
    </row>
    <row r="207" spans="2:9">
      <c r="B207" t="s">
        <v>52</v>
      </c>
      <c r="C207">
        <v>48.3</v>
      </c>
      <c r="D207">
        <v>155.06</v>
      </c>
      <c r="E207" s="16"/>
    </row>
    <row r="208" spans="2:9">
      <c r="B208" t="s">
        <v>53</v>
      </c>
      <c r="C208">
        <v>48.9</v>
      </c>
      <c r="D208">
        <v>52.13</v>
      </c>
      <c r="E208" s="16"/>
    </row>
    <row r="209" spans="2:5">
      <c r="B209" t="s">
        <v>56</v>
      </c>
      <c r="C209">
        <v>45.4</v>
      </c>
      <c r="D209">
        <v>7.09</v>
      </c>
      <c r="E209" s="16"/>
    </row>
    <row r="210" spans="2:5">
      <c r="B210" t="s">
        <v>4</v>
      </c>
      <c r="C210">
        <v>46.2</v>
      </c>
      <c r="D210">
        <v>506.01</v>
      </c>
      <c r="E210" s="16"/>
    </row>
    <row r="211" spans="2:5">
      <c r="B211" t="s">
        <v>57</v>
      </c>
      <c r="C211">
        <v>49.2</v>
      </c>
      <c r="D211">
        <v>21.28</v>
      </c>
      <c r="E211" s="16"/>
    </row>
    <row r="212" spans="2:5">
      <c r="B212" t="s">
        <v>58</v>
      </c>
      <c r="C212">
        <v>42.4</v>
      </c>
      <c r="D212">
        <v>467.7</v>
      </c>
      <c r="E212" s="16"/>
    </row>
    <row r="213" spans="2:5">
      <c r="B213" t="s">
        <v>59</v>
      </c>
      <c r="C213">
        <v>38.6</v>
      </c>
      <c r="D213">
        <v>48.79</v>
      </c>
      <c r="E213" s="16"/>
    </row>
    <row r="214" spans="2:5">
      <c r="B214" t="s">
        <v>8</v>
      </c>
      <c r="C214">
        <v>46</v>
      </c>
      <c r="D214">
        <v>877.84</v>
      </c>
      <c r="E214" s="16"/>
    </row>
    <row r="215" spans="2:5">
      <c r="B215" t="s">
        <v>0</v>
      </c>
      <c r="C215">
        <v>39.700000000000003</v>
      </c>
      <c r="D215">
        <v>12.67</v>
      </c>
      <c r="E215" s="16"/>
    </row>
    <row r="216" spans="2:5">
      <c r="B216" t="s">
        <v>116</v>
      </c>
      <c r="C216">
        <v>44.8</v>
      </c>
      <c r="D216">
        <v>13.75</v>
      </c>
      <c r="E216" s="16"/>
    </row>
    <row r="220" spans="2:5">
      <c r="B220" s="12" t="s">
        <v>1</v>
      </c>
      <c r="C220" s="16">
        <v>52.75</v>
      </c>
      <c r="D220">
        <v>197.34</v>
      </c>
    </row>
    <row r="221" spans="2:5">
      <c r="B221" s="12" t="s">
        <v>45</v>
      </c>
      <c r="C221" s="16">
        <v>19.399999999999999</v>
      </c>
      <c r="D221">
        <v>127.15</v>
      </c>
    </row>
    <row r="222" spans="2:5">
      <c r="B222" s="12" t="s">
        <v>46</v>
      </c>
      <c r="C222" s="16">
        <v>17.850000000000001</v>
      </c>
      <c r="D222">
        <v>24.36</v>
      </c>
    </row>
    <row r="223" spans="2:5">
      <c r="B223" s="12" t="s">
        <v>47</v>
      </c>
      <c r="C223" s="16">
        <v>17.600000000000001</v>
      </c>
      <c r="D223">
        <v>32.69</v>
      </c>
    </row>
    <row r="224" spans="2:5">
      <c r="B224" s="12" t="s">
        <v>3</v>
      </c>
      <c r="C224" s="16">
        <v>22.05</v>
      </c>
      <c r="D224">
        <v>436.99</v>
      </c>
    </row>
    <row r="225" spans="2:4">
      <c r="B225" s="12" t="s">
        <v>6</v>
      </c>
      <c r="C225" s="16">
        <v>56.05</v>
      </c>
      <c r="D225">
        <v>576.76</v>
      </c>
    </row>
    <row r="226" spans="2:4">
      <c r="B226" s="12" t="s">
        <v>7</v>
      </c>
      <c r="C226" s="16">
        <v>49.75</v>
      </c>
      <c r="D226">
        <v>592.22</v>
      </c>
    </row>
    <row r="227" spans="2:4">
      <c r="B227" s="12" t="s">
        <v>2</v>
      </c>
      <c r="C227" s="16">
        <v>38.9</v>
      </c>
      <c r="D227">
        <v>394.04</v>
      </c>
    </row>
    <row r="228" spans="2:4">
      <c r="B228" s="12" t="s">
        <v>48</v>
      </c>
      <c r="C228" s="16">
        <v>30.700000000000003</v>
      </c>
      <c r="D228">
        <v>86.96</v>
      </c>
    </row>
    <row r="229" spans="2:4">
      <c r="B229" s="12" t="s">
        <v>49</v>
      </c>
      <c r="C229" s="16">
        <v>31.65</v>
      </c>
      <c r="D229">
        <v>8.39</v>
      </c>
    </row>
    <row r="230" spans="2:4">
      <c r="B230" s="12" t="s">
        <v>50</v>
      </c>
      <c r="C230" s="16">
        <v>31.7</v>
      </c>
      <c r="D230">
        <v>160.22</v>
      </c>
    </row>
    <row r="231" spans="2:4">
      <c r="B231" s="12" t="s">
        <v>5</v>
      </c>
      <c r="C231" s="16">
        <v>37.35</v>
      </c>
      <c r="D231">
        <v>372.44</v>
      </c>
    </row>
    <row r="232" spans="2:4">
      <c r="B232" s="12" t="s">
        <v>51</v>
      </c>
      <c r="C232" s="16">
        <v>33.65</v>
      </c>
      <c r="D232">
        <v>111.62</v>
      </c>
    </row>
    <row r="233" spans="2:4">
      <c r="B233" s="12" t="s">
        <v>52</v>
      </c>
      <c r="C233" s="16">
        <v>18.2</v>
      </c>
      <c r="D233">
        <v>155.06</v>
      </c>
    </row>
    <row r="234" spans="2:4">
      <c r="B234" s="12" t="s">
        <v>53</v>
      </c>
      <c r="C234" s="16">
        <v>24.25</v>
      </c>
      <c r="D234">
        <v>52.13</v>
      </c>
    </row>
    <row r="235" spans="2:4">
      <c r="B235" s="12" t="s">
        <v>54</v>
      </c>
      <c r="C235" s="16">
        <v>15.850000000000001</v>
      </c>
      <c r="D235">
        <v>17.63</v>
      </c>
    </row>
    <row r="236" spans="2:4">
      <c r="B236" s="12" t="s">
        <v>55</v>
      </c>
      <c r="C236" s="16">
        <v>19.25</v>
      </c>
      <c r="D236">
        <v>190.62</v>
      </c>
    </row>
    <row r="237" spans="2:4">
      <c r="B237" s="12" t="s">
        <v>56</v>
      </c>
      <c r="C237" s="16">
        <v>17.350000000000001</v>
      </c>
      <c r="D237">
        <v>7.09</v>
      </c>
    </row>
    <row r="238" spans="2:4">
      <c r="B238" s="12" t="s">
        <v>4</v>
      </c>
      <c r="C238" s="16">
        <v>48.849999999999994</v>
      </c>
      <c r="D238">
        <v>506.01</v>
      </c>
    </row>
    <row r="239" spans="2:4">
      <c r="B239" s="12" t="s">
        <v>57</v>
      </c>
      <c r="C239" s="16">
        <v>42.55</v>
      </c>
      <c r="D239">
        <v>21.28</v>
      </c>
    </row>
    <row r="240" spans="2:4">
      <c r="B240" s="12" t="s">
        <v>58</v>
      </c>
      <c r="C240" s="16">
        <v>40.75</v>
      </c>
      <c r="D240">
        <v>467.7</v>
      </c>
    </row>
    <row r="241" spans="2:4">
      <c r="B241" s="12" t="s">
        <v>59</v>
      </c>
      <c r="C241" s="16">
        <v>27.5</v>
      </c>
      <c r="D241">
        <v>48.79</v>
      </c>
    </row>
    <row r="242" spans="2:4">
      <c r="B242" s="12" t="s">
        <v>8</v>
      </c>
      <c r="C242" s="16">
        <v>48.35</v>
      </c>
      <c r="D242">
        <v>877.84</v>
      </c>
    </row>
    <row r="243" spans="2:4">
      <c r="B243" s="12" t="s">
        <v>60</v>
      </c>
      <c r="C243" s="16">
        <v>31.9</v>
      </c>
      <c r="D243">
        <v>122.73</v>
      </c>
    </row>
    <row r="244" spans="2:4">
      <c r="B244" s="12" t="s">
        <v>61</v>
      </c>
      <c r="C244" s="16">
        <v>33.450000000000003</v>
      </c>
      <c r="D244">
        <v>19.29</v>
      </c>
    </row>
    <row r="245" spans="2:4">
      <c r="B245" s="12" t="s">
        <v>0</v>
      </c>
      <c r="C245" s="16">
        <v>32.700000000000003</v>
      </c>
      <c r="D245">
        <v>12.67</v>
      </c>
    </row>
    <row r="246" spans="2:4">
      <c r="B246" s="12" t="s">
        <v>62</v>
      </c>
      <c r="C246" s="16">
        <v>16.3</v>
      </c>
      <c r="D246">
        <v>13.75</v>
      </c>
    </row>
  </sheetData>
  <hyperlinks>
    <hyperlink ref="D1" r:id="rId1" display="https://ourworldindata.org/covid-cases" xr:uid="{9A05723F-885C-41BC-A5EC-20F0B1AAD6C6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C12"/>
  <sheetViews>
    <sheetView workbookViewId="0">
      <selection activeCell="C4" sqref="C4"/>
    </sheetView>
  </sheetViews>
  <sheetFormatPr defaultRowHeight="15"/>
  <cols>
    <col min="1" max="2" width="27.42578125" customWidth="1"/>
    <col min="3" max="3" width="32.5703125" customWidth="1"/>
    <col min="5" max="5" width="9" bestFit="1" customWidth="1"/>
    <col min="6" max="6" width="12.42578125" bestFit="1" customWidth="1"/>
  </cols>
  <sheetData>
    <row r="1" spans="1:3">
      <c r="A1" t="s">
        <v>22</v>
      </c>
      <c r="C1" t="s">
        <v>23</v>
      </c>
    </row>
    <row r="3" spans="1:3">
      <c r="A3" t="s">
        <v>20</v>
      </c>
      <c r="B3" s="3" t="s">
        <v>10</v>
      </c>
      <c r="C3" t="s">
        <v>21</v>
      </c>
    </row>
    <row r="4" spans="1:3">
      <c r="A4" s="2" t="s">
        <v>0</v>
      </c>
      <c r="B4" s="57" t="s">
        <v>15</v>
      </c>
      <c r="C4" s="13" t="s">
        <v>24</v>
      </c>
    </row>
    <row r="5" spans="1:3">
      <c r="A5" s="2" t="s">
        <v>1</v>
      </c>
      <c r="B5" s="57"/>
      <c r="C5" t="s">
        <v>25</v>
      </c>
    </row>
    <row r="6" spans="1:3">
      <c r="A6" s="2" t="s">
        <v>2</v>
      </c>
      <c r="B6" s="57"/>
      <c r="C6" t="s">
        <v>26</v>
      </c>
    </row>
    <row r="7" spans="1:3">
      <c r="A7" s="2" t="s">
        <v>3</v>
      </c>
      <c r="B7" s="57"/>
      <c r="C7" t="s">
        <v>27</v>
      </c>
    </row>
    <row r="8" spans="1:3">
      <c r="A8" s="2" t="s">
        <v>4</v>
      </c>
      <c r="B8" s="57" t="s">
        <v>16</v>
      </c>
      <c r="C8" t="s">
        <v>28</v>
      </c>
    </row>
    <row r="9" spans="1:3">
      <c r="A9" s="2" t="s">
        <v>5</v>
      </c>
      <c r="B9" s="57"/>
      <c r="C9" t="s">
        <v>29</v>
      </c>
    </row>
    <row r="10" spans="1:3">
      <c r="A10" s="2" t="s">
        <v>6</v>
      </c>
      <c r="B10" s="57"/>
      <c r="C10" t="s">
        <v>30</v>
      </c>
    </row>
    <row r="11" spans="1:3">
      <c r="A11" s="2" t="s">
        <v>7</v>
      </c>
      <c r="B11" s="57"/>
      <c r="C11" t="s">
        <v>31</v>
      </c>
    </row>
    <row r="12" spans="1:3">
      <c r="A12" s="2" t="s">
        <v>8</v>
      </c>
      <c r="B12" s="57"/>
      <c r="C12" t="s">
        <v>32</v>
      </c>
    </row>
  </sheetData>
  <mergeCells count="2">
    <mergeCell ref="B4:B7"/>
    <mergeCell ref="B8:B12"/>
  </mergeCells>
  <hyperlinks>
    <hyperlink ref="C4" r:id="rId1" xr:uid="{44D13CFE-BA72-4CDC-99FA-079841EAAAF1}"/>
  </hyperlinks>
  <pageMargins left="0.7" right="0.7" top="0.75" bottom="0.75" header="0.3" footer="0.3"/>
  <pageSetup paperSize="9" orientation="portrait" horizontalDpi="1200" verticalDpi="12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6EFA-FCA9-4C11-B8C1-BE02FACB1BDF}">
  <sheetPr codeName="Planilha5"/>
  <dimension ref="B3:S35"/>
  <sheetViews>
    <sheetView topLeftCell="A5" zoomScale="85" zoomScaleNormal="85" workbookViewId="0">
      <selection activeCell="U21" sqref="U21"/>
    </sheetView>
  </sheetViews>
  <sheetFormatPr defaultRowHeight="15"/>
  <sheetData>
    <row r="3" spans="2:19" ht="18.75">
      <c r="B3" s="58"/>
      <c r="C3" s="58"/>
      <c r="D3" s="58"/>
      <c r="E3" s="58"/>
      <c r="F3" s="58"/>
      <c r="G3" s="7"/>
      <c r="H3" s="59"/>
      <c r="I3" s="59"/>
      <c r="J3" s="59"/>
      <c r="K3" s="59"/>
      <c r="L3" s="59"/>
      <c r="M3" s="59"/>
      <c r="N3" s="59"/>
      <c r="O3" s="8"/>
      <c r="P3" s="8"/>
      <c r="Q3" s="8"/>
      <c r="R3" s="8"/>
      <c r="S3" s="7"/>
    </row>
    <row r="4" spans="2:19">
      <c r="B4" s="60" t="s">
        <v>43</v>
      </c>
      <c r="C4" s="60"/>
      <c r="D4" s="60"/>
      <c r="E4" s="60"/>
      <c r="F4" s="60"/>
      <c r="G4" s="60"/>
      <c r="H4" s="61" t="s">
        <v>44</v>
      </c>
      <c r="I4" s="61"/>
      <c r="J4" s="61"/>
      <c r="K4" s="61"/>
      <c r="L4" s="61"/>
      <c r="M4" s="61"/>
      <c r="N4" s="61"/>
      <c r="O4" s="6"/>
      <c r="P4" s="6"/>
      <c r="Q4" s="6"/>
      <c r="R4" s="6"/>
      <c r="S4" s="9"/>
    </row>
    <row r="5" spans="2:19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2:19">
      <c r="B6" s="6"/>
      <c r="C6" s="6"/>
      <c r="D6" s="6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</row>
    <row r="7" spans="2:1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</row>
    <row r="8" spans="2:1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</row>
    <row r="9" spans="2:1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</row>
    <row r="10" spans="2:1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</row>
    <row r="11" spans="2:1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</row>
    <row r="12" spans="2:1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2:1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2:1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2:1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2:1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2:1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</row>
    <row r="18" spans="2:19" ht="15.7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10"/>
      <c r="S18" s="11"/>
    </row>
    <row r="19" spans="2:19" ht="15.7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2"/>
      <c r="S19" s="62"/>
    </row>
    <row r="20" spans="2:1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2:1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</row>
    <row r="22" spans="2:1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</row>
    <row r="23" spans="2:1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</row>
    <row r="24" spans="2:1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</row>
    <row r="25" spans="2:1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</row>
    <row r="26" spans="2:1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</row>
    <row r="27" spans="2:1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</row>
    <row r="28" spans="2:1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</row>
    <row r="29" spans="2:1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2:1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</row>
    <row r="31" spans="2:1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</row>
    <row r="32" spans="2:1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</row>
    <row r="33" spans="2:1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2:1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2:1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</sheetData>
  <mergeCells count="5">
    <mergeCell ref="B3:F3"/>
    <mergeCell ref="H3:N3"/>
    <mergeCell ref="B4:G4"/>
    <mergeCell ref="H4:N4"/>
    <mergeCell ref="R19:S1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82325-4A80-48F8-9138-EE3FB5B5C05A}">
  <sheetPr codeName="Planilha6"/>
  <dimension ref="A1"/>
  <sheetViews>
    <sheetView zoomScale="85" zoomScaleNormal="85" workbookViewId="0">
      <selection activeCell="Z13" sqref="Z13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4DD50-5335-494F-832E-B4B747903C5C}">
  <sheetPr codeName="Planilha7"/>
  <dimension ref="B3:I14"/>
  <sheetViews>
    <sheetView workbookViewId="0">
      <selection activeCell="B5" sqref="B5"/>
    </sheetView>
  </sheetViews>
  <sheetFormatPr defaultRowHeight="15"/>
  <cols>
    <col min="2" max="2" width="9.7109375" bestFit="1" customWidth="1"/>
    <col min="3" max="3" width="9.85546875" bestFit="1" customWidth="1"/>
    <col min="4" max="4" width="10.7109375" bestFit="1" customWidth="1"/>
    <col min="5" max="5" width="10.85546875" bestFit="1" customWidth="1"/>
    <col min="6" max="6" width="10.42578125" bestFit="1" customWidth="1"/>
    <col min="7" max="7" width="8.7109375" bestFit="1" customWidth="1"/>
  </cols>
  <sheetData>
    <row r="3" spans="2:9">
      <c r="D3" t="s">
        <v>9</v>
      </c>
    </row>
    <row r="4" spans="2:9">
      <c r="B4" s="1"/>
      <c r="C4" s="3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18</v>
      </c>
      <c r="I4" s="2" t="s">
        <v>19</v>
      </c>
    </row>
    <row r="5" spans="2:9">
      <c r="B5" s="2" t="s">
        <v>0</v>
      </c>
      <c r="C5" s="57" t="s">
        <v>15</v>
      </c>
      <c r="D5" s="1">
        <v>10</v>
      </c>
      <c r="E5" s="1">
        <v>13</v>
      </c>
      <c r="F5" s="1">
        <v>15</v>
      </c>
      <c r="G5" s="1">
        <v>77</v>
      </c>
    </row>
    <row r="6" spans="2:9">
      <c r="B6" s="2" t="s">
        <v>1</v>
      </c>
      <c r="C6" s="57"/>
      <c r="D6" s="1">
        <v>80</v>
      </c>
      <c r="E6" s="1">
        <v>357</v>
      </c>
      <c r="F6" s="1">
        <v>559</v>
      </c>
      <c r="G6" s="1">
        <v>987</v>
      </c>
    </row>
    <row r="7" spans="2:9">
      <c r="B7" s="2" t="s">
        <v>2</v>
      </c>
      <c r="C7" s="57"/>
      <c r="D7" s="1">
        <v>203</v>
      </c>
      <c r="E7" s="1">
        <v>393</v>
      </c>
      <c r="F7" s="1">
        <v>559</v>
      </c>
      <c r="G7" s="1">
        <v>914</v>
      </c>
    </row>
    <row r="8" spans="2:9">
      <c r="B8" s="2" t="s">
        <v>3</v>
      </c>
      <c r="C8" s="57"/>
      <c r="D8" s="1">
        <v>262</v>
      </c>
      <c r="E8" s="1">
        <v>553</v>
      </c>
      <c r="F8" s="1">
        <v>717</v>
      </c>
      <c r="G8" s="1">
        <v>804</v>
      </c>
    </row>
    <row r="9" spans="2:9">
      <c r="B9" s="2" t="s">
        <v>4</v>
      </c>
      <c r="C9" s="57" t="s">
        <v>16</v>
      </c>
      <c r="D9" s="1">
        <v>314</v>
      </c>
      <c r="E9" s="1">
        <v>513</v>
      </c>
      <c r="F9" s="1">
        <v>708</v>
      </c>
      <c r="G9" s="1">
        <v>1046</v>
      </c>
    </row>
    <row r="10" spans="2:9">
      <c r="B10" s="2" t="s">
        <v>5</v>
      </c>
      <c r="C10" s="57"/>
      <c r="D10" s="1">
        <v>325</v>
      </c>
      <c r="E10" s="1">
        <v>579</v>
      </c>
      <c r="F10" s="1">
        <v>698</v>
      </c>
      <c r="G10" s="1">
        <v>800</v>
      </c>
    </row>
    <row r="11" spans="2:9">
      <c r="B11" s="2" t="s">
        <v>6</v>
      </c>
      <c r="C11" s="57"/>
      <c r="D11" s="1">
        <v>440</v>
      </c>
      <c r="E11" s="1">
        <v>576</v>
      </c>
      <c r="F11" s="1">
        <v>710</v>
      </c>
      <c r="G11" s="1">
        <v>961</v>
      </c>
    </row>
    <row r="12" spans="2:9">
      <c r="B12" s="2" t="s">
        <v>7</v>
      </c>
      <c r="C12" s="57"/>
      <c r="D12" s="1">
        <v>502</v>
      </c>
      <c r="E12" s="1">
        <v>591</v>
      </c>
      <c r="F12" s="1">
        <v>722</v>
      </c>
      <c r="G12" s="1">
        <v>896</v>
      </c>
    </row>
    <row r="13" spans="2:9">
      <c r="B13" s="2" t="s">
        <v>8</v>
      </c>
      <c r="C13" s="57"/>
      <c r="D13" s="1">
        <v>588</v>
      </c>
      <c r="E13" s="1">
        <v>878</v>
      </c>
      <c r="F13" s="1">
        <v>1018</v>
      </c>
      <c r="G13" s="1">
        <v>1156</v>
      </c>
    </row>
    <row r="14" spans="2:9">
      <c r="B14" s="63" t="s">
        <v>17</v>
      </c>
      <c r="C14" s="63"/>
    </row>
  </sheetData>
  <mergeCells count="3">
    <mergeCell ref="C5:C8"/>
    <mergeCell ref="C9:C13"/>
    <mergeCell ref="B14:C14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86726-FA3F-4179-8C58-5E893B02EAE8}">
  <sheetPr codeName="Planilha11"/>
  <dimension ref="A2:O28"/>
  <sheetViews>
    <sheetView topLeftCell="A3" workbookViewId="0">
      <selection activeCell="K16" sqref="K16:O28"/>
    </sheetView>
  </sheetViews>
  <sheetFormatPr defaultRowHeight="15"/>
  <sheetData>
    <row r="2" spans="1:15">
      <c r="B2" s="64" t="s">
        <v>93</v>
      </c>
      <c r="C2" s="64"/>
      <c r="D2" s="64"/>
      <c r="E2" s="64"/>
      <c r="F2" s="1"/>
      <c r="G2" s="64" t="s">
        <v>94</v>
      </c>
      <c r="H2" s="64"/>
      <c r="I2" s="64"/>
      <c r="J2" s="64"/>
      <c r="K2" s="1"/>
      <c r="L2" s="64" t="s">
        <v>95</v>
      </c>
      <c r="M2" s="64"/>
      <c r="N2" s="64"/>
      <c r="O2" s="64"/>
    </row>
    <row r="3" spans="1:15">
      <c r="B3" t="s">
        <v>89</v>
      </c>
      <c r="C3" t="s">
        <v>90</v>
      </c>
      <c r="D3" t="s">
        <v>91</v>
      </c>
      <c r="E3" t="s">
        <v>92</v>
      </c>
      <c r="G3" t="s">
        <v>89</v>
      </c>
      <c r="H3" t="s">
        <v>90</v>
      </c>
      <c r="I3" t="s">
        <v>91</v>
      </c>
      <c r="J3" t="s">
        <v>92</v>
      </c>
      <c r="L3" t="s">
        <v>89</v>
      </c>
      <c r="M3" t="s">
        <v>90</v>
      </c>
      <c r="N3" t="s">
        <v>91</v>
      </c>
      <c r="O3" t="s">
        <v>92</v>
      </c>
    </row>
    <row r="4" spans="1:15">
      <c r="A4" s="20" t="s">
        <v>78</v>
      </c>
      <c r="B4" s="21">
        <v>58.6</v>
      </c>
      <c r="C4" s="21">
        <v>49.2</v>
      </c>
      <c r="D4" s="21">
        <v>54.4</v>
      </c>
      <c r="E4" s="21">
        <v>57.3</v>
      </c>
      <c r="F4" s="21"/>
      <c r="G4" s="21">
        <v>52.5</v>
      </c>
      <c r="H4" s="21">
        <v>42.8</v>
      </c>
      <c r="I4" s="21">
        <v>48.1</v>
      </c>
      <c r="J4" s="21">
        <v>51</v>
      </c>
      <c r="K4" s="21"/>
      <c r="L4" s="21">
        <v>10.4</v>
      </c>
      <c r="M4" s="21">
        <v>13.1</v>
      </c>
      <c r="N4" s="21">
        <v>11.7</v>
      </c>
      <c r="O4" s="21">
        <v>11</v>
      </c>
    </row>
    <row r="5" spans="1:15">
      <c r="A5" s="20" t="s">
        <v>79</v>
      </c>
      <c r="B5" s="21">
        <v>69</v>
      </c>
      <c r="C5" s="21">
        <v>60.9</v>
      </c>
      <c r="D5" s="21">
        <v>64.2</v>
      </c>
      <c r="E5" s="21">
        <v>69.099999999999994</v>
      </c>
      <c r="F5" s="21"/>
      <c r="G5" s="21">
        <v>65</v>
      </c>
      <c r="H5" s="21">
        <v>55.8</v>
      </c>
      <c r="I5" s="21">
        <v>57.3</v>
      </c>
      <c r="J5" s="21">
        <v>63.3</v>
      </c>
      <c r="K5" s="21"/>
      <c r="L5" s="21">
        <v>5.8</v>
      </c>
      <c r="M5" s="21">
        <v>8.4</v>
      </c>
      <c r="N5" s="21">
        <v>10.8</v>
      </c>
      <c r="O5" s="21">
        <v>8.4</v>
      </c>
    </row>
    <row r="6" spans="1:15">
      <c r="A6" s="20" t="s">
        <v>80</v>
      </c>
      <c r="B6" s="21">
        <v>61</v>
      </c>
      <c r="C6" s="21">
        <v>55.3</v>
      </c>
      <c r="D6" s="21">
        <v>55.1</v>
      </c>
      <c r="E6" s="21">
        <v>56.8</v>
      </c>
      <c r="F6" s="21"/>
      <c r="G6" s="21">
        <v>53.5</v>
      </c>
      <c r="H6" s="21">
        <v>47.9</v>
      </c>
      <c r="I6" s="21">
        <v>47.1</v>
      </c>
      <c r="J6" s="21">
        <v>48.9</v>
      </c>
      <c r="K6" s="21"/>
      <c r="L6" s="21">
        <v>12.2</v>
      </c>
      <c r="M6" s="21">
        <v>13.3</v>
      </c>
      <c r="N6" s="21">
        <v>14.6</v>
      </c>
      <c r="O6" s="21">
        <v>13.9</v>
      </c>
    </row>
    <row r="7" spans="1:15">
      <c r="A7" s="20" t="s">
        <v>81</v>
      </c>
      <c r="B7" s="21">
        <v>62.5</v>
      </c>
      <c r="C7" s="21">
        <v>51.9</v>
      </c>
      <c r="D7" s="21">
        <v>53.4</v>
      </c>
      <c r="E7" s="21">
        <v>56.6</v>
      </c>
      <c r="F7" s="21"/>
      <c r="G7" s="21">
        <v>57.3</v>
      </c>
      <c r="H7" s="21">
        <v>45.6</v>
      </c>
      <c r="I7" s="21">
        <v>46.8</v>
      </c>
      <c r="J7" s="21">
        <v>50.8</v>
      </c>
      <c r="K7" s="21"/>
      <c r="L7" s="21">
        <v>8.1999999999999993</v>
      </c>
      <c r="M7" s="21">
        <v>12.2</v>
      </c>
      <c r="N7" s="21">
        <v>12.3</v>
      </c>
      <c r="O7" s="21">
        <v>10.3</v>
      </c>
    </row>
    <row r="8" spans="1:15">
      <c r="A8" s="20" t="s">
        <v>82</v>
      </c>
      <c r="B8" s="21">
        <v>61.6</v>
      </c>
      <c r="C8" s="21">
        <v>54.8</v>
      </c>
      <c r="D8" s="21">
        <v>58.6</v>
      </c>
      <c r="E8" s="21">
        <v>61.8</v>
      </c>
      <c r="F8" s="21"/>
      <c r="G8" s="21">
        <v>53.8</v>
      </c>
      <c r="H8" s="21">
        <v>43.7</v>
      </c>
      <c r="I8" s="21">
        <v>48.4</v>
      </c>
      <c r="J8" s="21">
        <v>53.3</v>
      </c>
      <c r="K8" s="21"/>
      <c r="L8" s="21">
        <v>12.6</v>
      </c>
      <c r="M8" s="21">
        <v>20.3</v>
      </c>
      <c r="N8" s="21">
        <v>17.5</v>
      </c>
      <c r="O8" s="21">
        <v>13.8</v>
      </c>
    </row>
    <row r="9" spans="1:15">
      <c r="A9" s="20" t="s">
        <v>83</v>
      </c>
      <c r="B9" s="21">
        <v>63.4</v>
      </c>
      <c r="C9" s="21">
        <v>57.6</v>
      </c>
      <c r="D9" s="21">
        <v>59.1</v>
      </c>
      <c r="E9" s="21">
        <v>60.8</v>
      </c>
      <c r="F9" s="21"/>
      <c r="G9" s="21">
        <v>55.5</v>
      </c>
      <c r="H9" s="21">
        <v>43.7</v>
      </c>
      <c r="I9" s="21">
        <v>46.1</v>
      </c>
      <c r="J9" s="21">
        <v>48.7</v>
      </c>
      <c r="K9" s="21"/>
      <c r="L9" s="21">
        <v>12.5</v>
      </c>
      <c r="M9" s="21">
        <v>24</v>
      </c>
      <c r="N9" s="21">
        <v>22</v>
      </c>
      <c r="O9" s="21">
        <v>20</v>
      </c>
    </row>
    <row r="10" spans="1:15">
      <c r="A10" s="20" t="s">
        <v>84</v>
      </c>
      <c r="B10" s="21">
        <v>59.9</v>
      </c>
      <c r="C10" s="21">
        <v>49.4</v>
      </c>
      <c r="D10" s="21">
        <v>55.5</v>
      </c>
      <c r="E10" s="21">
        <v>57.5</v>
      </c>
      <c r="F10" s="21"/>
      <c r="G10" s="21">
        <v>57.8</v>
      </c>
      <c r="H10" s="21">
        <v>47</v>
      </c>
      <c r="I10" s="21">
        <v>52.6</v>
      </c>
      <c r="J10" s="21">
        <v>54.9</v>
      </c>
      <c r="K10" s="21"/>
      <c r="L10" s="21">
        <v>3.4</v>
      </c>
      <c r="M10" s="21">
        <v>4.8</v>
      </c>
      <c r="N10" s="21">
        <v>5.0999999999999996</v>
      </c>
      <c r="O10" s="21">
        <v>4.5999999999999996</v>
      </c>
    </row>
    <row r="11" spans="1:15">
      <c r="A11" s="20" t="s">
        <v>85</v>
      </c>
      <c r="B11" s="21">
        <v>71</v>
      </c>
      <c r="C11" s="21">
        <v>66.5</v>
      </c>
      <c r="D11" s="21">
        <v>68.3</v>
      </c>
      <c r="E11" s="21">
        <v>70.5</v>
      </c>
      <c r="F11" s="21"/>
      <c r="G11" s="21">
        <v>67.599999999999994</v>
      </c>
      <c r="H11" s="21">
        <v>62.9</v>
      </c>
      <c r="I11" s="21">
        <v>65</v>
      </c>
      <c r="J11" s="21">
        <v>67.5</v>
      </c>
      <c r="K11" s="21"/>
      <c r="L11" s="21">
        <v>4.8</v>
      </c>
      <c r="M11" s="21">
        <v>5.4</v>
      </c>
      <c r="N11" s="21">
        <v>4.8</v>
      </c>
      <c r="O11" s="21">
        <v>4.8</v>
      </c>
    </row>
    <row r="12" spans="1:15">
      <c r="A12" s="20" t="s">
        <v>86</v>
      </c>
      <c r="B12" s="21">
        <v>71.2</v>
      </c>
      <c r="C12" s="21">
        <v>66.7</v>
      </c>
      <c r="D12" s="21">
        <v>70.7</v>
      </c>
      <c r="E12" s="21">
        <v>72.400000000000006</v>
      </c>
      <c r="F12" s="21"/>
      <c r="G12" s="21">
        <v>65.599999999999994</v>
      </c>
      <c r="H12" s="21">
        <v>61.6</v>
      </c>
      <c r="I12" s="21">
        <v>64.900000000000006</v>
      </c>
      <c r="J12" s="21">
        <v>67.099999999999994</v>
      </c>
      <c r="K12" s="21"/>
      <c r="L12" s="21">
        <v>7.9</v>
      </c>
      <c r="M12" s="21">
        <v>7.6</v>
      </c>
      <c r="N12" s="21">
        <v>8.1999999999999993</v>
      </c>
      <c r="O12" s="21">
        <v>7.2</v>
      </c>
    </row>
    <row r="13" spans="1:15">
      <c r="A13" s="20" t="s">
        <v>87</v>
      </c>
      <c r="B13" s="21">
        <v>70.2</v>
      </c>
      <c r="C13" s="21">
        <v>45.3</v>
      </c>
      <c r="D13" s="21">
        <v>63.3</v>
      </c>
      <c r="E13" s="21">
        <v>70.5</v>
      </c>
      <c r="F13" s="21"/>
      <c r="G13" s="21">
        <v>66.599999999999994</v>
      </c>
      <c r="H13" s="21">
        <v>41.3</v>
      </c>
      <c r="I13" s="21">
        <v>57.2</v>
      </c>
      <c r="J13" s="21">
        <v>65.599999999999994</v>
      </c>
      <c r="K13" s="21"/>
      <c r="L13" s="21">
        <v>5.0999999999999996</v>
      </c>
      <c r="M13" s="21">
        <v>8.8000000000000007</v>
      </c>
      <c r="N13" s="21">
        <v>9.6</v>
      </c>
      <c r="O13" s="21">
        <v>7</v>
      </c>
    </row>
    <row r="14" spans="1:15">
      <c r="A14" s="20" t="s">
        <v>88</v>
      </c>
      <c r="B14" s="21">
        <v>61.6</v>
      </c>
      <c r="C14" s="21">
        <v>58.8</v>
      </c>
      <c r="D14" s="21">
        <v>60.3</v>
      </c>
      <c r="E14" s="21">
        <v>61.5</v>
      </c>
      <c r="F14" s="21"/>
      <c r="G14" s="21">
        <v>55.6</v>
      </c>
      <c r="H14" s="21">
        <v>52.9</v>
      </c>
      <c r="I14" s="21">
        <v>53.8</v>
      </c>
      <c r="J14" s="21">
        <v>54.8</v>
      </c>
      <c r="K14" s="21"/>
      <c r="L14" s="21">
        <v>9.6999999999999993</v>
      </c>
      <c r="M14" s="21">
        <v>10</v>
      </c>
      <c r="N14" s="21">
        <v>10.8</v>
      </c>
      <c r="O14" s="21">
        <v>10.9</v>
      </c>
    </row>
    <row r="16" spans="1:15">
      <c r="B16" s="64" t="s">
        <v>93</v>
      </c>
      <c r="C16" s="64"/>
      <c r="D16" s="64"/>
      <c r="E16" s="64"/>
      <c r="F16" s="1"/>
      <c r="G16" s="64" t="s">
        <v>94</v>
      </c>
      <c r="H16" s="64"/>
      <c r="I16" s="64"/>
      <c r="J16" s="64"/>
      <c r="K16" s="1"/>
      <c r="L16" s="64" t="s">
        <v>95</v>
      </c>
      <c r="M16" s="64"/>
      <c r="N16" s="64"/>
      <c r="O16" s="64"/>
    </row>
    <row r="17" spans="1:15">
      <c r="B17" t="s">
        <v>89</v>
      </c>
      <c r="C17" t="s">
        <v>90</v>
      </c>
      <c r="D17" t="s">
        <v>91</v>
      </c>
      <c r="E17" t="s">
        <v>92</v>
      </c>
      <c r="G17" t="s">
        <v>89</v>
      </c>
      <c r="H17" t="s">
        <v>90</v>
      </c>
      <c r="I17" t="s">
        <v>91</v>
      </c>
      <c r="J17" t="s">
        <v>92</v>
      </c>
      <c r="L17" t="s">
        <v>89</v>
      </c>
      <c r="M17" t="s">
        <v>90</v>
      </c>
      <c r="N17" t="s">
        <v>91</v>
      </c>
      <c r="O17" t="s">
        <v>92</v>
      </c>
    </row>
    <row r="18" spans="1:15">
      <c r="A18" s="20" t="s">
        <v>78</v>
      </c>
      <c r="B18" s="21">
        <f>B4/$B4*100</f>
        <v>100</v>
      </c>
      <c r="C18" s="21">
        <f t="shared" ref="C18:E18" si="0">C4/$B4*100</f>
        <v>83.959044368600686</v>
      </c>
      <c r="D18" s="21">
        <f t="shared" si="0"/>
        <v>92.832764505119442</v>
      </c>
      <c r="E18" s="21">
        <f t="shared" si="0"/>
        <v>97.78156996587029</v>
      </c>
      <c r="F18" s="20" t="s">
        <v>78</v>
      </c>
      <c r="G18" s="21">
        <f>G4/$G4*100</f>
        <v>100</v>
      </c>
      <c r="H18" s="21">
        <f t="shared" ref="H18:J18" si="1">H4/$G4*100</f>
        <v>81.523809523809518</v>
      </c>
      <c r="I18" s="21">
        <f t="shared" si="1"/>
        <v>91.61904761904762</v>
      </c>
      <c r="J18" s="21">
        <f t="shared" si="1"/>
        <v>97.142857142857139</v>
      </c>
      <c r="K18" s="20" t="s">
        <v>78</v>
      </c>
      <c r="L18" s="21">
        <f>L4/$L4*100</f>
        <v>100</v>
      </c>
      <c r="M18" s="21">
        <f t="shared" ref="M18:O18" si="2">M4/$L4*100</f>
        <v>125.96153846153845</v>
      </c>
      <c r="N18" s="21">
        <f t="shared" si="2"/>
        <v>112.5</v>
      </c>
      <c r="O18" s="21">
        <f t="shared" si="2"/>
        <v>105.76923076923077</v>
      </c>
    </row>
    <row r="19" spans="1:15">
      <c r="A19" s="20" t="s">
        <v>79</v>
      </c>
      <c r="B19" s="21">
        <f t="shared" ref="B19:E19" si="3">B5/$B5*100</f>
        <v>100</v>
      </c>
      <c r="C19" s="21">
        <f t="shared" si="3"/>
        <v>88.260869565217391</v>
      </c>
      <c r="D19" s="21">
        <f t="shared" si="3"/>
        <v>93.043478260869577</v>
      </c>
      <c r="E19" s="21">
        <f t="shared" si="3"/>
        <v>100.14492753623188</v>
      </c>
      <c r="F19" s="20" t="s">
        <v>79</v>
      </c>
      <c r="G19" s="21">
        <f t="shared" ref="G19:J19" si="4">G5/$G5*100</f>
        <v>100</v>
      </c>
      <c r="H19" s="21">
        <f t="shared" si="4"/>
        <v>85.84615384615384</v>
      </c>
      <c r="I19" s="21">
        <f t="shared" si="4"/>
        <v>88.153846153846146</v>
      </c>
      <c r="J19" s="21">
        <f t="shared" si="4"/>
        <v>97.384615384615387</v>
      </c>
      <c r="K19" s="20" t="s">
        <v>79</v>
      </c>
      <c r="L19" s="21">
        <f t="shared" ref="L19:O19" si="5">L5/$L5*100</f>
        <v>100</v>
      </c>
      <c r="M19" s="21">
        <f t="shared" si="5"/>
        <v>144.82758620689654</v>
      </c>
      <c r="N19" s="21">
        <f t="shared" si="5"/>
        <v>186.20689655172416</v>
      </c>
      <c r="O19" s="21">
        <f t="shared" si="5"/>
        <v>144.82758620689654</v>
      </c>
    </row>
    <row r="20" spans="1:15">
      <c r="A20" s="20" t="s">
        <v>6</v>
      </c>
      <c r="B20" s="21">
        <f t="shared" ref="B20:E20" si="6">B6/$B6*100</f>
        <v>100</v>
      </c>
      <c r="C20" s="21">
        <f t="shared" si="6"/>
        <v>90.655737704918025</v>
      </c>
      <c r="D20" s="21">
        <f t="shared" si="6"/>
        <v>90.327868852459019</v>
      </c>
      <c r="E20" s="21">
        <f t="shared" si="6"/>
        <v>93.114754098360649</v>
      </c>
      <c r="F20" s="20" t="s">
        <v>6</v>
      </c>
      <c r="G20" s="21">
        <f t="shared" ref="G20:J20" si="7">G6/$G6*100</f>
        <v>100</v>
      </c>
      <c r="H20" s="21">
        <f t="shared" si="7"/>
        <v>89.532710280373834</v>
      </c>
      <c r="I20" s="21">
        <f t="shared" si="7"/>
        <v>88.037383177570092</v>
      </c>
      <c r="J20" s="21">
        <f t="shared" si="7"/>
        <v>91.401869158878498</v>
      </c>
      <c r="K20" s="20" t="s">
        <v>6</v>
      </c>
      <c r="L20" s="21">
        <f t="shared" ref="L20:O20" si="8">L6/$L6*100</f>
        <v>100</v>
      </c>
      <c r="M20" s="21">
        <f t="shared" si="8"/>
        <v>109.01639344262297</v>
      </c>
      <c r="N20" s="21">
        <f t="shared" si="8"/>
        <v>119.67213114754098</v>
      </c>
      <c r="O20" s="21">
        <f t="shared" si="8"/>
        <v>113.9344262295082</v>
      </c>
    </row>
    <row r="21" spans="1:15">
      <c r="A21" s="20" t="s">
        <v>81</v>
      </c>
      <c r="B21" s="21">
        <f t="shared" ref="B21:E21" si="9">B7/$B7*100</f>
        <v>100</v>
      </c>
      <c r="C21" s="21">
        <f t="shared" si="9"/>
        <v>83.04</v>
      </c>
      <c r="D21" s="21">
        <f t="shared" si="9"/>
        <v>85.44</v>
      </c>
      <c r="E21" s="21">
        <f t="shared" si="9"/>
        <v>90.56</v>
      </c>
      <c r="F21" s="20" t="s">
        <v>81</v>
      </c>
      <c r="G21" s="21">
        <f t="shared" ref="G21:J21" si="10">G7/$G7*100</f>
        <v>100</v>
      </c>
      <c r="H21" s="21">
        <f t="shared" si="10"/>
        <v>79.581151832460733</v>
      </c>
      <c r="I21" s="21">
        <f t="shared" si="10"/>
        <v>81.675392670157066</v>
      </c>
      <c r="J21" s="21">
        <f t="shared" si="10"/>
        <v>88.656195462478181</v>
      </c>
      <c r="K21" s="20" t="s">
        <v>81</v>
      </c>
      <c r="L21" s="21">
        <f t="shared" ref="L21:O21" si="11">L7/$L7*100</f>
        <v>100</v>
      </c>
      <c r="M21" s="21">
        <f t="shared" si="11"/>
        <v>148.78048780487805</v>
      </c>
      <c r="N21" s="21">
        <f t="shared" si="11"/>
        <v>150.00000000000003</v>
      </c>
      <c r="O21" s="21">
        <f t="shared" si="11"/>
        <v>125.609756097561</v>
      </c>
    </row>
    <row r="22" spans="1:15">
      <c r="A22" s="20" t="s">
        <v>82</v>
      </c>
      <c r="B22" s="21">
        <f t="shared" ref="B22:E22" si="12">B8/$B8*100</f>
        <v>100</v>
      </c>
      <c r="C22" s="21">
        <f t="shared" si="12"/>
        <v>88.961038961038952</v>
      </c>
      <c r="D22" s="21">
        <f t="shared" si="12"/>
        <v>95.129870129870127</v>
      </c>
      <c r="E22" s="21">
        <f t="shared" si="12"/>
        <v>100.32467532467533</v>
      </c>
      <c r="F22" s="20" t="s">
        <v>82</v>
      </c>
      <c r="G22" s="21">
        <f t="shared" ref="G22:J22" si="13">G8/$G8*100</f>
        <v>100</v>
      </c>
      <c r="H22" s="21">
        <f t="shared" si="13"/>
        <v>81.226765799256512</v>
      </c>
      <c r="I22" s="21">
        <f t="shared" si="13"/>
        <v>89.962825278810413</v>
      </c>
      <c r="J22" s="21">
        <f t="shared" si="13"/>
        <v>99.070631970260223</v>
      </c>
      <c r="K22" s="20" t="s">
        <v>82</v>
      </c>
      <c r="L22" s="21">
        <f t="shared" ref="L22:O22" si="14">L8/$L8*100</f>
        <v>100</v>
      </c>
      <c r="M22" s="21">
        <f t="shared" si="14"/>
        <v>161.11111111111111</v>
      </c>
      <c r="N22" s="21">
        <f t="shared" si="14"/>
        <v>138.88888888888889</v>
      </c>
      <c r="O22" s="21">
        <f t="shared" si="14"/>
        <v>109.52380952380953</v>
      </c>
    </row>
    <row r="23" spans="1:15">
      <c r="A23" s="20" t="s">
        <v>83</v>
      </c>
      <c r="B23" s="21">
        <f t="shared" ref="B23:E23" si="15">B9/$B9*100</f>
        <v>100</v>
      </c>
      <c r="C23" s="21">
        <f t="shared" si="15"/>
        <v>90.851735015772874</v>
      </c>
      <c r="D23" s="21">
        <f t="shared" si="15"/>
        <v>93.217665615141968</v>
      </c>
      <c r="E23" s="21">
        <f t="shared" si="15"/>
        <v>95.899053627760239</v>
      </c>
      <c r="F23" s="20" t="s">
        <v>83</v>
      </c>
      <c r="G23" s="21">
        <f t="shared" ref="G23:J23" si="16">G9/$G9*100</f>
        <v>100</v>
      </c>
      <c r="H23" s="21">
        <f t="shared" si="16"/>
        <v>78.738738738738746</v>
      </c>
      <c r="I23" s="21">
        <f t="shared" si="16"/>
        <v>83.063063063063069</v>
      </c>
      <c r="J23" s="21">
        <f t="shared" si="16"/>
        <v>87.747747747747752</v>
      </c>
      <c r="K23" s="20" t="s">
        <v>83</v>
      </c>
      <c r="L23" s="21">
        <f t="shared" ref="L23:O23" si="17">L9/$L9*100</f>
        <v>100</v>
      </c>
      <c r="M23" s="21">
        <f t="shared" si="17"/>
        <v>192</v>
      </c>
      <c r="N23" s="21">
        <f t="shared" si="17"/>
        <v>176</v>
      </c>
      <c r="O23" s="21">
        <f t="shared" si="17"/>
        <v>160</v>
      </c>
    </row>
    <row r="24" spans="1:15">
      <c r="A24" s="20" t="s">
        <v>4</v>
      </c>
      <c r="B24" s="21">
        <f t="shared" ref="B24:E24" si="18">B10/$B10*100</f>
        <v>100</v>
      </c>
      <c r="C24" s="21">
        <f t="shared" si="18"/>
        <v>82.470784641068448</v>
      </c>
      <c r="D24" s="21">
        <f t="shared" si="18"/>
        <v>92.654424040066786</v>
      </c>
      <c r="E24" s="21">
        <f t="shared" si="18"/>
        <v>95.99332220367279</v>
      </c>
      <c r="F24" s="20" t="s">
        <v>4</v>
      </c>
      <c r="G24" s="21">
        <f t="shared" ref="G24:J24" si="19">G10/$G10*100</f>
        <v>100</v>
      </c>
      <c r="H24" s="21">
        <f t="shared" si="19"/>
        <v>81.31487889273356</v>
      </c>
      <c r="I24" s="21">
        <f t="shared" si="19"/>
        <v>91.003460207612463</v>
      </c>
      <c r="J24" s="21">
        <f t="shared" si="19"/>
        <v>94.982698961937714</v>
      </c>
      <c r="K24" s="20" t="s">
        <v>4</v>
      </c>
      <c r="L24" s="21">
        <f t="shared" ref="L24:O24" si="20">L10/$L10*100</f>
        <v>100</v>
      </c>
      <c r="M24" s="21">
        <f t="shared" si="20"/>
        <v>141.1764705882353</v>
      </c>
      <c r="N24" s="21">
        <f t="shared" si="20"/>
        <v>150</v>
      </c>
      <c r="O24" s="21">
        <f t="shared" si="20"/>
        <v>135.29411764705881</v>
      </c>
    </row>
    <row r="25" spans="1:15">
      <c r="A25" s="20" t="s">
        <v>85</v>
      </c>
      <c r="B25" s="21">
        <f t="shared" ref="B25:E25" si="21">B11/$B11*100</f>
        <v>100</v>
      </c>
      <c r="C25" s="21">
        <f t="shared" si="21"/>
        <v>93.661971830985919</v>
      </c>
      <c r="D25" s="21">
        <f t="shared" si="21"/>
        <v>96.197183098591537</v>
      </c>
      <c r="E25" s="21">
        <f t="shared" si="21"/>
        <v>99.295774647887328</v>
      </c>
      <c r="F25" s="20" t="s">
        <v>85</v>
      </c>
      <c r="G25" s="21">
        <f t="shared" ref="G25:J25" si="22">G11/$G11*100</f>
        <v>100</v>
      </c>
      <c r="H25" s="21">
        <f t="shared" si="22"/>
        <v>93.047337278106511</v>
      </c>
      <c r="I25" s="21">
        <f t="shared" si="22"/>
        <v>96.15384615384616</v>
      </c>
      <c r="J25" s="21">
        <f t="shared" si="22"/>
        <v>99.852071005917168</v>
      </c>
      <c r="K25" s="20" t="s">
        <v>85</v>
      </c>
      <c r="L25" s="21">
        <f t="shared" ref="L25:O25" si="23">L11/$L11*100</f>
        <v>100</v>
      </c>
      <c r="M25" s="21">
        <f t="shared" si="23"/>
        <v>112.50000000000003</v>
      </c>
      <c r="N25" s="21">
        <f t="shared" si="23"/>
        <v>100</v>
      </c>
      <c r="O25" s="21">
        <f t="shared" si="23"/>
        <v>100</v>
      </c>
    </row>
    <row r="26" spans="1:15">
      <c r="A26" s="20" t="s">
        <v>86</v>
      </c>
      <c r="B26" s="21">
        <f t="shared" ref="B26:E26" si="24">B12/$B12*100</f>
        <v>100</v>
      </c>
      <c r="C26" s="21">
        <f t="shared" si="24"/>
        <v>93.67977528089888</v>
      </c>
      <c r="D26" s="21">
        <f t="shared" si="24"/>
        <v>99.297752808988761</v>
      </c>
      <c r="E26" s="21">
        <f t="shared" si="24"/>
        <v>101.68539325842696</v>
      </c>
      <c r="F26" s="20" t="s">
        <v>86</v>
      </c>
      <c r="G26" s="21">
        <f t="shared" ref="G26:J26" si="25">G12/$G12*100</f>
        <v>100</v>
      </c>
      <c r="H26" s="21">
        <f t="shared" si="25"/>
        <v>93.902439024390247</v>
      </c>
      <c r="I26" s="21">
        <f t="shared" si="25"/>
        <v>98.932926829268311</v>
      </c>
      <c r="J26" s="21">
        <f t="shared" si="25"/>
        <v>102.28658536585367</v>
      </c>
      <c r="K26" s="20" t="s">
        <v>86</v>
      </c>
      <c r="L26" s="21">
        <f t="shared" ref="L26:O26" si="26">L12/$L12*100</f>
        <v>100</v>
      </c>
      <c r="M26" s="21">
        <f t="shared" si="26"/>
        <v>96.202531645569607</v>
      </c>
      <c r="N26" s="21">
        <f t="shared" si="26"/>
        <v>103.79746835443035</v>
      </c>
      <c r="O26" s="21">
        <f t="shared" si="26"/>
        <v>91.139240506329116</v>
      </c>
    </row>
    <row r="27" spans="1:15">
      <c r="A27" s="20" t="s">
        <v>8</v>
      </c>
      <c r="B27" s="21">
        <f t="shared" ref="B27:E27" si="27">B13/$B13*100</f>
        <v>100</v>
      </c>
      <c r="C27" s="21">
        <f t="shared" si="27"/>
        <v>64.529914529914521</v>
      </c>
      <c r="D27" s="21">
        <f t="shared" si="27"/>
        <v>90.170940170940156</v>
      </c>
      <c r="E27" s="21">
        <f t="shared" si="27"/>
        <v>100.42735042735043</v>
      </c>
      <c r="F27" s="20" t="s">
        <v>8</v>
      </c>
      <c r="G27" s="21">
        <f t="shared" ref="G27:J27" si="28">G13/$G13*100</f>
        <v>100</v>
      </c>
      <c r="H27" s="21">
        <f t="shared" si="28"/>
        <v>62.012012012012008</v>
      </c>
      <c r="I27" s="21">
        <f t="shared" si="28"/>
        <v>85.885885885885898</v>
      </c>
      <c r="J27" s="21">
        <f t="shared" si="28"/>
        <v>98.498498498498492</v>
      </c>
      <c r="K27" s="20" t="s">
        <v>8</v>
      </c>
      <c r="L27" s="21">
        <f t="shared" ref="L27:O27" si="29">L13/$L13*100</f>
        <v>100</v>
      </c>
      <c r="M27" s="21">
        <f t="shared" si="29"/>
        <v>172.54901960784318</v>
      </c>
      <c r="N27" s="21">
        <f t="shared" si="29"/>
        <v>188.23529411764704</v>
      </c>
      <c r="O27" s="21">
        <f t="shared" si="29"/>
        <v>137.25490196078431</v>
      </c>
    </row>
    <row r="28" spans="1:15">
      <c r="A28" s="20" t="s">
        <v>88</v>
      </c>
      <c r="B28" s="21">
        <f t="shared" ref="B28:E28" si="30">B14/$B14*100</f>
        <v>100</v>
      </c>
      <c r="C28" s="21">
        <f t="shared" si="30"/>
        <v>95.454545454545453</v>
      </c>
      <c r="D28" s="21">
        <f t="shared" si="30"/>
        <v>97.889610389610382</v>
      </c>
      <c r="E28" s="21">
        <f t="shared" si="30"/>
        <v>99.837662337662337</v>
      </c>
      <c r="F28" s="20" t="s">
        <v>88</v>
      </c>
      <c r="G28" s="21">
        <f t="shared" ref="G28:J28" si="31">G14/$G14*100</f>
        <v>100</v>
      </c>
      <c r="H28" s="21">
        <f t="shared" si="31"/>
        <v>95.143884892086334</v>
      </c>
      <c r="I28" s="21">
        <f t="shared" si="31"/>
        <v>96.762589928057551</v>
      </c>
      <c r="J28" s="21">
        <f t="shared" si="31"/>
        <v>98.561151079136692</v>
      </c>
      <c r="K28" s="20" t="s">
        <v>88</v>
      </c>
      <c r="L28" s="21">
        <f t="shared" ref="L28:O28" si="32">L14/$L14*100</f>
        <v>100</v>
      </c>
      <c r="M28" s="21">
        <f t="shared" si="32"/>
        <v>103.09278350515466</v>
      </c>
      <c r="N28" s="21">
        <f t="shared" si="32"/>
        <v>111.34020618556704</v>
      </c>
      <c r="O28" s="21">
        <f t="shared" si="32"/>
        <v>112.37113402061858</v>
      </c>
    </row>
  </sheetData>
  <mergeCells count="6">
    <mergeCell ref="B2:E2"/>
    <mergeCell ref="G2:J2"/>
    <mergeCell ref="L2:O2"/>
    <mergeCell ref="B16:E16"/>
    <mergeCell ref="G16:J16"/>
    <mergeCell ref="L16:O16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63FD-135F-4A49-9287-C0E4EC0FF291}">
  <sheetPr codeName="Planilha18"/>
  <dimension ref="A2:F10"/>
  <sheetViews>
    <sheetView workbookViewId="0">
      <selection sqref="A1:F10"/>
    </sheetView>
  </sheetViews>
  <sheetFormatPr defaultRowHeight="15"/>
  <sheetData>
    <row r="2" spans="1:6">
      <c r="A2" s="18" t="s">
        <v>8</v>
      </c>
      <c r="B2" s="24">
        <v>877.84</v>
      </c>
      <c r="C2" s="18" t="s">
        <v>55</v>
      </c>
      <c r="D2" s="24">
        <v>190.62</v>
      </c>
      <c r="E2" s="18" t="s">
        <v>47</v>
      </c>
      <c r="F2" s="24">
        <v>32.69</v>
      </c>
    </row>
    <row r="3" spans="1:6">
      <c r="A3" s="18" t="s">
        <v>7</v>
      </c>
      <c r="B3" s="24">
        <v>592.22</v>
      </c>
      <c r="C3" s="18" t="s">
        <v>50</v>
      </c>
      <c r="D3" s="24">
        <v>160.22</v>
      </c>
      <c r="E3" s="18" t="s">
        <v>46</v>
      </c>
      <c r="F3" s="24">
        <v>24.36</v>
      </c>
    </row>
    <row r="4" spans="1:6">
      <c r="A4" s="18" t="s">
        <v>6</v>
      </c>
      <c r="B4" s="24">
        <v>576.76</v>
      </c>
      <c r="C4" s="18" t="s">
        <v>52</v>
      </c>
      <c r="D4" s="24">
        <v>155.06</v>
      </c>
      <c r="E4" s="18" t="s">
        <v>57</v>
      </c>
      <c r="F4" s="24">
        <v>21.28</v>
      </c>
    </row>
    <row r="5" spans="1:6">
      <c r="A5" s="18" t="s">
        <v>4</v>
      </c>
      <c r="B5" s="24">
        <v>506.01</v>
      </c>
      <c r="C5" s="18" t="s">
        <v>45</v>
      </c>
      <c r="D5" s="24">
        <v>127.15</v>
      </c>
      <c r="E5" s="18" t="s">
        <v>61</v>
      </c>
      <c r="F5" s="24">
        <v>19.29</v>
      </c>
    </row>
    <row r="6" spans="1:6">
      <c r="A6" s="18" t="s">
        <v>58</v>
      </c>
      <c r="B6" s="24">
        <v>467.7</v>
      </c>
      <c r="C6" s="18" t="s">
        <v>60</v>
      </c>
      <c r="D6" s="24">
        <v>122.73</v>
      </c>
      <c r="E6" s="18" t="s">
        <v>54</v>
      </c>
      <c r="F6" s="24">
        <v>17.63</v>
      </c>
    </row>
    <row r="7" spans="1:6">
      <c r="A7" s="18" t="s">
        <v>3</v>
      </c>
      <c r="B7" s="24">
        <v>436.99</v>
      </c>
      <c r="C7" s="18" t="s">
        <v>51</v>
      </c>
      <c r="D7" s="24">
        <v>111.62</v>
      </c>
      <c r="E7" s="18" t="s">
        <v>62</v>
      </c>
      <c r="F7" s="24">
        <v>13.75</v>
      </c>
    </row>
    <row r="8" spans="1:6">
      <c r="A8" s="18" t="s">
        <v>2</v>
      </c>
      <c r="B8" s="24">
        <v>394.04</v>
      </c>
      <c r="C8" s="18" t="s">
        <v>48</v>
      </c>
      <c r="D8" s="24">
        <v>86.96</v>
      </c>
      <c r="E8" s="18" t="s">
        <v>0</v>
      </c>
      <c r="F8" s="24">
        <v>12.67</v>
      </c>
    </row>
    <row r="9" spans="1:6">
      <c r="A9" s="18" t="s">
        <v>5</v>
      </c>
      <c r="B9" s="24">
        <v>372.44</v>
      </c>
      <c r="C9" s="18" t="s">
        <v>53</v>
      </c>
      <c r="D9" s="24">
        <v>52.13</v>
      </c>
      <c r="E9" s="18" t="s">
        <v>49</v>
      </c>
      <c r="F9" s="24">
        <v>8.39</v>
      </c>
    </row>
    <row r="10" spans="1:6">
      <c r="A10" s="18" t="s">
        <v>1</v>
      </c>
      <c r="B10" s="24">
        <v>197.34</v>
      </c>
      <c r="C10" s="18" t="s">
        <v>59</v>
      </c>
      <c r="D10" s="24">
        <v>48.79</v>
      </c>
      <c r="E10" s="18" t="s">
        <v>56</v>
      </c>
      <c r="F10" s="24">
        <v>7.09</v>
      </c>
    </row>
  </sheetData>
  <sortState xmlns:xlrd2="http://schemas.microsoft.com/office/spreadsheetml/2017/richdata2" ref="A2:B28">
    <sortCondition descending="1" ref="B2:B28"/>
  </sortState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8EB88-18A8-454C-B28B-5E42F9DA4E94}">
  <dimension ref="B1:P15"/>
  <sheetViews>
    <sheetView tabSelected="1" workbookViewId="0">
      <selection activeCell="B17" sqref="B17"/>
    </sheetView>
  </sheetViews>
  <sheetFormatPr defaultRowHeight="15"/>
  <cols>
    <col min="2" max="2" width="8.7109375" bestFit="1" customWidth="1"/>
    <col min="3" max="3" width="11.42578125" customWidth="1"/>
    <col min="4" max="4" width="13.5703125" customWidth="1"/>
    <col min="5" max="5" width="16.28515625" customWidth="1"/>
    <col min="6" max="6" width="14.42578125" customWidth="1"/>
    <col min="7" max="7" width="12.7109375" customWidth="1"/>
    <col min="8" max="8" width="14.28515625" customWidth="1"/>
    <col min="11" max="11" width="9.5703125" bestFit="1" customWidth="1"/>
    <col min="12" max="12" width="10.5703125" bestFit="1" customWidth="1"/>
    <col min="13" max="13" width="13.7109375" bestFit="1" customWidth="1"/>
    <col min="14" max="14" width="13.28515625" bestFit="1" customWidth="1"/>
    <col min="15" max="15" width="17.7109375" customWidth="1"/>
    <col min="16" max="16" width="16.28515625" bestFit="1" customWidth="1"/>
  </cols>
  <sheetData>
    <row r="1" spans="2:16" ht="15.75" thickBot="1"/>
    <row r="2" spans="2:16" ht="39" customHeight="1" thickTop="1" thickBot="1">
      <c r="B2" s="46" t="s">
        <v>119</v>
      </c>
      <c r="C2" s="47" t="s">
        <v>120</v>
      </c>
      <c r="D2" s="47" t="s">
        <v>121</v>
      </c>
      <c r="E2" s="46" t="s">
        <v>125</v>
      </c>
      <c r="F2" s="46" t="s">
        <v>126</v>
      </c>
      <c r="G2" s="46" t="s">
        <v>127</v>
      </c>
      <c r="H2" s="45" t="s">
        <v>128</v>
      </c>
    </row>
    <row r="3" spans="2:16">
      <c r="B3" s="36" t="s">
        <v>0</v>
      </c>
      <c r="C3" s="37">
        <v>10</v>
      </c>
      <c r="D3" s="65" t="s">
        <v>15</v>
      </c>
      <c r="E3" s="36">
        <v>23.9</v>
      </c>
      <c r="F3" s="36">
        <v>0.06</v>
      </c>
      <c r="G3" s="36">
        <v>5.0999999999999996</v>
      </c>
      <c r="H3" s="38">
        <v>39.700000000000003</v>
      </c>
    </row>
    <row r="4" spans="2:16">
      <c r="B4" s="36" t="s">
        <v>48</v>
      </c>
      <c r="C4" s="37">
        <v>30</v>
      </c>
      <c r="D4" s="65"/>
      <c r="E4" s="36">
        <v>36.6</v>
      </c>
      <c r="F4" s="36"/>
      <c r="G4" s="36"/>
      <c r="H4" s="38"/>
    </row>
    <row r="5" spans="2:16">
      <c r="B5" s="36" t="s">
        <v>1</v>
      </c>
      <c r="C5" s="37">
        <v>80</v>
      </c>
      <c r="D5" s="65"/>
      <c r="E5" s="36">
        <v>48.1</v>
      </c>
      <c r="F5" s="36">
        <v>8.8000000000000007</v>
      </c>
      <c r="G5" s="36">
        <v>66.2</v>
      </c>
      <c r="H5" s="38">
        <v>41.4</v>
      </c>
    </row>
    <row r="6" spans="2:16">
      <c r="B6" s="36" t="s">
        <v>2</v>
      </c>
      <c r="C6" s="37">
        <v>203</v>
      </c>
      <c r="D6" s="65"/>
      <c r="E6" s="36">
        <v>61.4</v>
      </c>
      <c r="F6" s="36">
        <v>2.6</v>
      </c>
      <c r="G6" s="36">
        <v>19.3</v>
      </c>
      <c r="H6" s="38">
        <v>50.4</v>
      </c>
      <c r="K6" s="48">
        <v>44409</v>
      </c>
      <c r="L6" s="48">
        <v>44438</v>
      </c>
      <c r="M6" t="s">
        <v>131</v>
      </c>
      <c r="N6" t="s">
        <v>132</v>
      </c>
      <c r="O6" s="53">
        <v>44409</v>
      </c>
      <c r="P6" s="48">
        <v>44438</v>
      </c>
    </row>
    <row r="7" spans="2:16" ht="15.75" thickBot="1">
      <c r="B7" s="39" t="s">
        <v>3</v>
      </c>
      <c r="C7" s="40">
        <v>262</v>
      </c>
      <c r="D7" s="66"/>
      <c r="E7" s="39">
        <v>85.2</v>
      </c>
      <c r="F7" s="39">
        <v>1.6</v>
      </c>
      <c r="G7" s="39">
        <v>55.2</v>
      </c>
      <c r="H7" s="41">
        <v>42.2</v>
      </c>
      <c r="J7" t="s">
        <v>6</v>
      </c>
      <c r="K7" s="50">
        <v>96616</v>
      </c>
      <c r="L7" s="50">
        <v>121515</v>
      </c>
      <c r="M7" s="50">
        <v>213864852</v>
      </c>
      <c r="N7" s="49">
        <v>1000000</v>
      </c>
      <c r="O7" s="54">
        <f>(K7/M7)*N7</f>
        <v>451.76193795509704</v>
      </c>
      <c r="P7">
        <f>(L7/M7)*N7</f>
        <v>568.18593080456242</v>
      </c>
    </row>
    <row r="8" spans="2:16">
      <c r="B8" s="36" t="s">
        <v>4</v>
      </c>
      <c r="C8" s="37">
        <v>314</v>
      </c>
      <c r="D8" s="67" t="s">
        <v>16</v>
      </c>
      <c r="E8" s="36">
        <v>57</v>
      </c>
      <c r="F8" s="36" t="s">
        <v>122</v>
      </c>
      <c r="G8" s="36" t="s">
        <v>122</v>
      </c>
      <c r="H8" s="38" t="s">
        <v>123</v>
      </c>
      <c r="J8" s="51" t="s">
        <v>129</v>
      </c>
      <c r="K8" s="52">
        <v>154</v>
      </c>
      <c r="L8" s="52">
        <v>436</v>
      </c>
      <c r="M8" s="52">
        <v>5134282</v>
      </c>
      <c r="N8" s="51"/>
      <c r="O8" s="56">
        <f>(K8/M8)*N7</f>
        <v>29.994456868555332</v>
      </c>
    </row>
    <row r="9" spans="2:16">
      <c r="B9" s="36" t="s">
        <v>5</v>
      </c>
      <c r="C9" s="37">
        <v>325</v>
      </c>
      <c r="D9" s="65"/>
      <c r="E9" s="36">
        <v>72.400000000000006</v>
      </c>
      <c r="F9" s="36">
        <v>0.95</v>
      </c>
      <c r="G9" s="36">
        <v>1.9</v>
      </c>
      <c r="H9" s="38">
        <v>45.4</v>
      </c>
      <c r="J9" s="51" t="s">
        <v>130</v>
      </c>
      <c r="K9" s="52">
        <v>1449</v>
      </c>
      <c r="L9" s="52">
        <v>2002</v>
      </c>
      <c r="M9" s="52">
        <v>4373282</v>
      </c>
      <c r="N9" s="51"/>
      <c r="O9" s="55">
        <f>(K9/M9)*N7</f>
        <v>331.33010860036012</v>
      </c>
    </row>
    <row r="10" spans="2:16">
      <c r="B10" s="36" t="s">
        <v>58</v>
      </c>
      <c r="C10" s="37">
        <v>331</v>
      </c>
      <c r="D10" s="65"/>
      <c r="E10" s="36">
        <v>52.8</v>
      </c>
      <c r="G10" s="36"/>
      <c r="H10" s="38"/>
    </row>
    <row r="11" spans="2:16">
      <c r="B11" s="36" t="s">
        <v>6</v>
      </c>
      <c r="C11" s="37">
        <v>440</v>
      </c>
      <c r="D11" s="65"/>
      <c r="E11" s="36">
        <v>41.1</v>
      </c>
      <c r="F11" s="36">
        <v>29.4</v>
      </c>
      <c r="G11" s="36">
        <v>43</v>
      </c>
      <c r="H11" s="38">
        <v>53.9</v>
      </c>
    </row>
    <row r="12" spans="2:16">
      <c r="B12" s="36" t="s">
        <v>7</v>
      </c>
      <c r="C12" s="37">
        <v>502</v>
      </c>
      <c r="D12" s="65"/>
      <c r="E12" s="36">
        <v>29.2</v>
      </c>
      <c r="F12" s="36">
        <v>1.8</v>
      </c>
      <c r="G12" s="36">
        <v>31.8</v>
      </c>
      <c r="H12" s="38">
        <v>46.4</v>
      </c>
    </row>
    <row r="13" spans="2:16" ht="15.75" thickBot="1">
      <c r="B13" s="42" t="s">
        <v>8</v>
      </c>
      <c r="C13" s="43">
        <v>588</v>
      </c>
      <c r="D13" s="68"/>
      <c r="E13" s="42">
        <v>68.900000000000006</v>
      </c>
      <c r="F13" s="42">
        <v>0.8</v>
      </c>
      <c r="G13" s="42">
        <v>2.5</v>
      </c>
      <c r="H13" s="44">
        <v>41.9</v>
      </c>
    </row>
    <row r="14" spans="2:16" ht="15.75" thickTop="1">
      <c r="B14" s="69" t="s">
        <v>124</v>
      </c>
      <c r="C14" s="69"/>
      <c r="D14" s="69"/>
      <c r="E14" s="69"/>
      <c r="F14" s="69"/>
      <c r="G14" s="69"/>
      <c r="H14" s="69"/>
    </row>
    <row r="15" spans="2:16">
      <c r="B15" s="70"/>
      <c r="C15" s="70"/>
      <c r="D15" s="70"/>
      <c r="E15" s="70"/>
      <c r="F15" s="70"/>
      <c r="G15" s="70"/>
      <c r="H15" s="70"/>
    </row>
  </sheetData>
  <mergeCells count="3">
    <mergeCell ref="D3:D7"/>
    <mergeCell ref="D8:D13"/>
    <mergeCell ref="B14:H15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10</vt:i4>
      </vt:variant>
      <vt:variant>
        <vt:lpstr>Gráficos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22" baseType="lpstr">
      <vt:lpstr>Grafico 1. Covid Index</vt:lpstr>
      <vt:lpstr>Gráfs agrupados</vt:lpstr>
      <vt:lpstr>GHS e Obitos</vt:lpstr>
      <vt:lpstr>planilha cepal - paises</vt:lpstr>
      <vt:lpstr>GHS - LA e mundo</vt:lpstr>
      <vt:lpstr>GHS - La</vt:lpstr>
      <vt:lpstr>Mapa de calor</vt:lpstr>
      <vt:lpstr>Txs atividade, ocup etc</vt:lpstr>
      <vt:lpstr>Mortalidade ordenada</vt:lpstr>
      <vt:lpstr>@Reponsabilidade </vt:lpstr>
      <vt:lpstr>Mortalidade 0-4</vt:lpstr>
      <vt:lpstr>Gasto saúde prop GDP</vt:lpstr>
      <vt:lpstr>Posiç GHS index</vt:lpstr>
      <vt:lpstr>GDP per capita</vt:lpstr>
      <vt:lpstr>Óbitos x IDH</vt:lpstr>
      <vt:lpstr>Informality 1</vt:lpstr>
      <vt:lpstr>Informality 2</vt:lpstr>
      <vt:lpstr>Gini</vt:lpstr>
      <vt:lpstr>Tx atividade</vt:lpstr>
      <vt:lpstr>Tx Ocupação</vt:lpstr>
      <vt:lpstr>Desemprego</vt:lpstr>
      <vt:lpstr>'GHS e Obitos'!_GoBack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Brandão Peres</dc:creator>
  <cp:lastModifiedBy>Thiago Brandão Peres</cp:lastModifiedBy>
  <dcterms:created xsi:type="dcterms:W3CDTF">2015-06-05T18:19:34Z</dcterms:created>
  <dcterms:modified xsi:type="dcterms:W3CDTF">2021-05-17T11:56:46Z</dcterms:modified>
</cp:coreProperties>
</file>